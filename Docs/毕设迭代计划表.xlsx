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特总览" sheetId="1" state="visible" r:id="rId1"/>
    <sheet xmlns:r="http://schemas.openxmlformats.org/officeDocument/2006/relationships" name="Sprint任务看板" sheetId="2" state="visible" r:id="rId2"/>
    <sheet xmlns:r="http://schemas.openxmlformats.org/officeDocument/2006/relationships" name="论文写作对照" sheetId="3" state="visible" r:id="rId3"/>
    <sheet xmlns:r="http://schemas.openxmlformats.org/officeDocument/2006/relationships" name="素材采购清单" sheetId="4" state="visible" r:id="rId4"/>
    <sheet xmlns:r="http://schemas.openxmlformats.org/officeDocument/2006/relationships" name="风险登记册" sheetId="5" state="visible" r:id="rId5"/>
  </sheets>
  <definedNames>
    <definedName name="_xlnm._FilterDatabase" localSheetId="0" hidden="1">'甘特总览'!$A$2:$S$12</definedName>
    <definedName name="_xlnm._FilterDatabase" localSheetId="1" hidden="1">'Sprint任务看板'!$A$2:$J$36</definedName>
    <definedName name="_xlnm._FilterDatabase" localSheetId="2" hidden="1">'论文写作对照'!$A$2:$H$22</definedName>
    <definedName name="_xlnm._FilterDatabase" localSheetId="3" hidden="1">'素材采购清单'!$A$2:$I$16</definedName>
    <definedName name="_xlnm._FilterDatabase" localSheetId="4" hidden="1">'风险登记册'!$A$2:$I$11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4"/>
    </font>
    <font>
      <name val="微软雅黑"/>
      <b val="1"/>
      <color rgb="FFFFFFFF"/>
      <sz val="10"/>
    </font>
    <font>
      <name val="微软雅黑"/>
      <sz val="10"/>
    </font>
    <font>
      <name val="微软雅黑"/>
      <color rgb="FF595959"/>
      <sz val="9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9" fontId="2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 val="1"/>
        <color rgb="FF2F5597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42" customWidth="1" min="3" max="3"/>
    <col width="8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26" customWidth="1" min="16" max="16"/>
    <col width="10" customWidth="1" min="17" max="17"/>
    <col width="7" customWidth="1" min="18" max="18"/>
    <col width="30" customWidth="1" min="19" max="19"/>
  </cols>
  <sheetData>
    <row r="1" ht="26" customHeight="1">
      <c r="A1" s="1" t="inlineStr">
        <is>
          <t>毕设迭代计划表 · 甘特总览   —— 7 天冲刺（2026-09-13 ~ 2026-09-20）</t>
        </is>
      </c>
    </row>
    <row r="2" ht="30" customHeight="1">
      <c r="A2" s="2" t="inlineStr">
        <is>
          <t>序号</t>
        </is>
      </c>
      <c r="B2" s="2" t="inlineStr">
        <is>
          <t>阶段</t>
        </is>
      </c>
      <c r="C2" s="2" t="inlineStr">
        <is>
          <t>主要任务</t>
        </is>
      </c>
      <c r="D2" s="2" t="inlineStr">
        <is>
          <t>负责人</t>
        </is>
      </c>
      <c r="E2" s="2" t="inlineStr">
        <is>
          <t>开始日期</t>
        </is>
      </c>
      <c r="F2" s="2" t="inlineStr">
        <is>
          <t>结束日期</t>
        </is>
      </c>
      <c r="G2" s="2" t="inlineStr">
        <is>
          <t>持续天数</t>
        </is>
      </c>
      <c r="H2" s="2" t="inlineStr">
        <is>
          <t>D0
09-13</t>
        </is>
      </c>
      <c r="I2" s="2" t="inlineStr">
        <is>
          <t>D1
09-14</t>
        </is>
      </c>
      <c r="J2" s="2" t="inlineStr">
        <is>
          <t>D2
09-15</t>
        </is>
      </c>
      <c r="K2" s="2" t="inlineStr">
        <is>
          <t>D3
09-16</t>
        </is>
      </c>
      <c r="L2" s="2" t="inlineStr">
        <is>
          <t>D4
09-17</t>
        </is>
      </c>
      <c r="M2" s="2" t="inlineStr">
        <is>
          <t>D5
09-18</t>
        </is>
      </c>
      <c r="N2" s="2" t="inlineStr">
        <is>
          <t>D6
09-19</t>
        </is>
      </c>
      <c r="O2" s="2" t="inlineStr">
        <is>
          <t>D7
09-20</t>
        </is>
      </c>
      <c r="P2" s="2" t="inlineStr">
        <is>
          <t>关键产出 / 里程碑</t>
        </is>
      </c>
      <c r="Q2" s="2" t="inlineStr">
        <is>
          <t>状态</t>
        </is>
      </c>
      <c r="R2" s="2" t="inlineStr">
        <is>
          <t>优先级</t>
        </is>
      </c>
      <c r="S2" s="2" t="inlineStr">
        <is>
          <t>备注</t>
        </is>
      </c>
    </row>
    <row r="3" ht="34" customHeight="1">
      <c r="A3" s="3" t="n">
        <v>1</v>
      </c>
      <c r="B3" s="4" t="inlineStr">
        <is>
          <t>S0 环境基线</t>
        </is>
      </c>
      <c r="C3" s="4" t="inlineStr">
        <is>
          <t>打通 Codely Bridge 通道、装齐依赖包、建目录骨架与计划文档</t>
        </is>
      </c>
      <c r="D3" s="3" t="inlineStr">
        <is>
          <t>你+AI</t>
        </is>
      </c>
      <c r="E3" s="5" t="n">
        <v>46278</v>
      </c>
      <c r="F3" s="5" t="n">
        <v>46278</v>
      </c>
      <c r="G3" s="3">
        <f>IF(OR(E3="",F3=""),"",F3-E3+1)</f>
        <v>1.0</v>
      </c>
      <c r="H3" s="6" t="n"/>
      <c r="I3" s="3" t="n"/>
      <c r="J3" s="3" t="n"/>
      <c r="K3" s="3" t="n"/>
      <c r="L3" s="3" t="n"/>
      <c r="M3" s="3" t="n"/>
      <c r="N3" s="3" t="n"/>
      <c r="O3" s="3" t="n"/>
      <c r="P3" s="4" t="inlineStr">
        <is>
          <t>M0 通道贯通</t>
        </is>
      </c>
      <c r="Q3" s="3" t="inlineStr">
        <is>
          <t>进行中</t>
        </is>
      </c>
      <c r="R3" s="3" t="inlineStr">
        <is>
          <t>高</t>
        </is>
      </c>
      <c r="S3" s="7" t="inlineStr">
        <is>
          <t>唯一阻塞项：先开 Unity 等编译</t>
        </is>
      </c>
    </row>
    <row r="4" ht="34" customHeight="1">
      <c r="A4" s="3" t="n">
        <v>2</v>
      </c>
      <c r="B4" s="4" t="inlineStr">
        <is>
          <t>S1 角色操控</t>
        </is>
      </c>
      <c r="C4" s="4" t="inlineStr">
        <is>
          <t>白盒场景、PlayerController 移动/转向/冲刺、Cinemachine 跟随、Animator 骨架</t>
        </is>
      </c>
      <c r="D4" s="3" t="inlineStr">
        <is>
          <t>AI</t>
        </is>
      </c>
      <c r="E4" s="5" t="n">
        <v>46279</v>
      </c>
      <c r="F4" s="5" t="n">
        <v>46279</v>
      </c>
      <c r="G4" s="3">
        <f>IF(OR(E4="",F4=""),"",F4-E4+1)</f>
        <v>1.0</v>
      </c>
      <c r="H4" s="3" t="n"/>
      <c r="I4" s="6" t="n"/>
      <c r="J4" s="3" t="n"/>
      <c r="K4" s="3" t="n"/>
      <c r="L4" s="3" t="n"/>
      <c r="M4" s="3" t="n"/>
      <c r="N4" s="3" t="n"/>
      <c r="O4" s="3" t="n"/>
      <c r="P4" s="4" t="inlineStr">
        <is>
          <t>M1 能动</t>
        </is>
      </c>
      <c r="Q4" s="3" t="inlineStr">
        <is>
          <t>未开始</t>
        </is>
      </c>
      <c r="R4" s="3" t="inlineStr">
        <is>
          <t>高</t>
        </is>
      </c>
      <c r="S4" s="7" t="inlineStr">
        <is>
          <t>素材入库后统一规范为 Humanoid</t>
        </is>
      </c>
    </row>
    <row r="5" ht="34" customHeight="1">
      <c r="A5" s="3" t="n">
        <v>3</v>
      </c>
      <c r="B5" s="4" t="inlineStr">
        <is>
          <t>S2 战斗内核</t>
        </is>
      </c>
      <c r="C5" s="4" t="inlineStr">
        <is>
          <t>三段连击、蓄力重击、闪避 i-frame、Hitbox 框架、顿帧与镜头震动</t>
        </is>
      </c>
      <c r="D5" s="3" t="inlineStr">
        <is>
          <t>AI</t>
        </is>
      </c>
      <c r="E5" s="5" t="n">
        <v>46280</v>
      </c>
      <c r="F5" s="5" t="n">
        <v>46280</v>
      </c>
      <c r="G5" s="3">
        <f>IF(OR(E5="",F5=""),"",F5-E5+1)</f>
        <v>1.0</v>
      </c>
      <c r="H5" s="3" t="n"/>
      <c r="I5" s="3" t="n"/>
      <c r="J5" s="6" t="n"/>
      <c r="K5" s="3" t="n"/>
      <c r="L5" s="3" t="n"/>
      <c r="M5" s="3" t="n"/>
      <c r="N5" s="3" t="n"/>
      <c r="O5" s="3" t="n"/>
      <c r="P5" s="4" t="inlineStr">
        <is>
          <t>M2 能打</t>
        </is>
      </c>
      <c r="Q5" s="3" t="inlineStr">
        <is>
          <t>未开始</t>
        </is>
      </c>
      <c r="R5" s="3" t="inlineStr">
        <is>
          <t>高</t>
        </is>
      </c>
      <c r="S5" s="7" t="inlineStr">
        <is>
          <t>打击感优先于数值平衡</t>
        </is>
      </c>
    </row>
    <row r="6" ht="34" customHeight="1">
      <c r="A6" s="3" t="n">
        <v>4</v>
      </c>
      <c r="B6" s="4" t="inlineStr">
        <is>
          <t>S3 敌人与关卡</t>
        </is>
      </c>
      <c r="C6" s="4" t="inlineStr">
        <is>
          <t>NavMesh 烘焙、敌人行为状态机、3 种敌人、波次生成与房间控制</t>
        </is>
      </c>
      <c r="D6" s="3" t="inlineStr">
        <is>
          <t>AI</t>
        </is>
      </c>
      <c r="E6" s="5" t="n">
        <v>46281</v>
      </c>
      <c r="F6" s="5" t="n">
        <v>46281</v>
      </c>
      <c r="G6" s="3">
        <f>IF(OR(E6="",F6=""),"",F6-E6+1)</f>
        <v>1.0</v>
      </c>
      <c r="H6" s="3" t="n"/>
      <c r="I6" s="3" t="n"/>
      <c r="J6" s="3" t="n"/>
      <c r="K6" s="6" t="n"/>
      <c r="L6" s="3" t="n"/>
      <c r="M6" s="3" t="n"/>
      <c r="N6" s="3" t="n"/>
      <c r="O6" s="3" t="n"/>
      <c r="P6" s="4" t="inlineStr">
        <is>
          <t>M3 有对手</t>
        </is>
      </c>
      <c r="Q6" s="3" t="inlineStr">
        <is>
          <t>未开始</t>
        </is>
      </c>
      <c r="R6" s="3" t="inlineStr">
        <is>
          <t>高</t>
        </is>
      </c>
      <c r="S6" s="7" t="inlineStr">
        <is>
          <t>依赖 com.unity.ai.navigation</t>
        </is>
      </c>
    </row>
    <row r="7" ht="34" customHeight="1">
      <c r="A7" s="3" t="n">
        <v>5</v>
      </c>
      <c r="B7" s="4" t="inlineStr">
        <is>
          <t>S4 水墨渲染 ★</t>
        </is>
      </c>
      <c r="C7" s="4" t="inlineStr">
        <is>
          <t>多阶色调映射光照、噪波扰动飞白边缘、程序化宣纸底纹</t>
        </is>
      </c>
      <c r="D7" s="3" t="inlineStr">
        <is>
          <t>AI</t>
        </is>
      </c>
      <c r="E7" s="5" t="n">
        <v>46282</v>
      </c>
      <c r="F7" s="5" t="n">
        <v>46282</v>
      </c>
      <c r="G7" s="3">
        <f>IF(OR(E7="",F7=""),"",F7-E7+1)</f>
        <v>1.0</v>
      </c>
      <c r="H7" s="3" t="n"/>
      <c r="I7" s="3" t="n"/>
      <c r="J7" s="3" t="n"/>
      <c r="K7" s="3" t="n"/>
      <c r="L7" s="6" t="n"/>
      <c r="M7" s="3" t="n"/>
      <c r="N7" s="3" t="n"/>
      <c r="O7" s="3" t="n"/>
      <c r="P7" s="4" t="inlineStr">
        <is>
          <t>M4 有墨味（论文第3章核心）</t>
        </is>
      </c>
      <c r="Q7" s="3" t="inlineStr">
        <is>
          <t>未开始</t>
        </is>
      </c>
      <c r="R7" s="3" t="inlineStr">
        <is>
          <t>高</t>
        </is>
      </c>
      <c r="S7" s="7" t="inlineStr">
        <is>
          <t>高风险项，降级链见风险登记册 R3</t>
        </is>
      </c>
    </row>
    <row r="8" ht="34" customHeight="1">
      <c r="A8" s="3" t="n">
        <v>6</v>
      </c>
      <c r="B8" s="4" t="inlineStr">
        <is>
          <t>S5 完整循环</t>
        </is>
      </c>
      <c r="C8" s="4" t="inlineStr">
        <is>
          <t>游戏状态机、技能数据层、三选一随机池、墨晕后处理、水墨动作特效</t>
        </is>
      </c>
      <c r="D8" s="3" t="inlineStr">
        <is>
          <t>AI</t>
        </is>
      </c>
      <c r="E8" s="5" t="n">
        <v>46283</v>
      </c>
      <c r="F8" s="5" t="n">
        <v>46283</v>
      </c>
      <c r="G8" s="3">
        <f>IF(OR(E8="",F8=""),"",F8-E8+1)</f>
        <v>1.0</v>
      </c>
      <c r="H8" s="3" t="n"/>
      <c r="I8" s="3" t="n"/>
      <c r="J8" s="3" t="n"/>
      <c r="K8" s="3" t="n"/>
      <c r="L8" s="3" t="n"/>
      <c r="M8" s="6" t="n"/>
      <c r="N8" s="3" t="n"/>
      <c r="O8" s="3" t="n"/>
      <c r="P8" s="4" t="inlineStr">
        <is>
          <t>M5 完整循环可玩</t>
        </is>
      </c>
      <c r="Q8" s="3" t="inlineStr">
        <is>
          <t>未开始</t>
        </is>
      </c>
      <c r="R8" s="3" t="inlineStr">
        <is>
          <t>高</t>
        </is>
      </c>
      <c r="S8" s="7" t="inlineStr">
        <is>
          <t>Roguelike 闭环成型</t>
        </is>
      </c>
    </row>
    <row r="9" ht="34" customHeight="1">
      <c r="A9" s="3" t="n">
        <v>7</v>
      </c>
      <c r="B9" s="4" t="inlineStr">
        <is>
          <t>S6 测试优化</t>
        </is>
      </c>
      <c r="C9" s="4" t="inlineStr">
        <is>
          <t>自动化测试用例、Profiler 性能基线、对象池与批处理优化、手感调参</t>
        </is>
      </c>
      <c r="D9" s="3" t="inlineStr">
        <is>
          <t>AI</t>
        </is>
      </c>
      <c r="E9" s="5" t="n">
        <v>46284</v>
      </c>
      <c r="F9" s="5" t="n">
        <v>46284</v>
      </c>
      <c r="G9" s="3">
        <f>IF(OR(E9="",F9=""),"",F9-E9+1)</f>
        <v>1.0</v>
      </c>
      <c r="H9" s="3" t="n"/>
      <c r="I9" s="3" t="n"/>
      <c r="J9" s="3" t="n"/>
      <c r="K9" s="3" t="n"/>
      <c r="L9" s="3" t="n"/>
      <c r="M9" s="3" t="n"/>
      <c r="N9" s="6" t="n"/>
      <c r="O9" s="3" t="n"/>
      <c r="P9" s="4" t="inlineStr">
        <is>
          <t>M6 稳定 60fps</t>
        </is>
      </c>
      <c r="Q9" s="3" t="inlineStr">
        <is>
          <t>未开始</t>
        </is>
      </c>
      <c r="R9" s="3" t="inlineStr">
        <is>
          <t>中</t>
        </is>
      </c>
      <c r="S9" s="7" t="inlineStr">
        <is>
          <t>同时输出论文第5章数据</t>
        </is>
      </c>
    </row>
    <row r="10" ht="34" customHeight="1">
      <c r="A10" s="3" t="n">
        <v>8</v>
      </c>
      <c r="B10" s="4" t="inlineStr">
        <is>
          <t>S7 交付</t>
        </is>
      </c>
      <c r="C10" s="4" t="inlineStr">
        <is>
          <t>Recorder 录屏、渲染对比截图集、Windows Build 打包、论文章节成稿</t>
        </is>
      </c>
      <c r="D10" s="3" t="inlineStr">
        <is>
          <t>你+AI</t>
        </is>
      </c>
      <c r="E10" s="5" t="n">
        <v>46285</v>
      </c>
      <c r="F10" s="5" t="n">
        <v>46285</v>
      </c>
      <c r="G10" s="3">
        <f>IF(OR(E10="",F10=""),"",F10-E10+1)</f>
        <v>1.0</v>
      </c>
      <c r="H10" s="3" t="n"/>
      <c r="I10" s="3" t="n"/>
      <c r="J10" s="3" t="n"/>
      <c r="K10" s="3" t="n"/>
      <c r="L10" s="3" t="n"/>
      <c r="M10" s="3" t="n"/>
      <c r="N10" s="3" t="n"/>
      <c r="O10" s="6" t="n"/>
      <c r="P10" s="4" t="inlineStr">
        <is>
          <t>M7 交付</t>
        </is>
      </c>
      <c r="Q10" s="3" t="inlineStr">
        <is>
          <t>未开始</t>
        </is>
      </c>
      <c r="R10" s="3" t="inlineStr">
        <is>
          <t>高</t>
        </is>
      </c>
      <c r="S10" s="7" t="inlineStr">
        <is>
          <t>答辩材料齐套</t>
        </is>
      </c>
    </row>
    <row r="11" ht="34" customHeight="1">
      <c r="A11" s="3" t="n">
        <v>9</v>
      </c>
      <c r="B11" s="4" t="inlineStr">
        <is>
          <t>贯穿·论文写作</t>
        </is>
      </c>
      <c r="C11" s="4" t="inlineStr">
        <is>
          <t>每个 Sprint 收尾同步成稿对应章节（第 3 章为重点）</t>
        </is>
      </c>
      <c r="D11" s="3" t="inlineStr">
        <is>
          <t>AI+你</t>
        </is>
      </c>
      <c r="E11" s="5" t="n">
        <v>46278</v>
      </c>
      <c r="F11" s="5" t="n">
        <v>46285</v>
      </c>
      <c r="G11" s="3">
        <f>IF(OR(E11="",F11=""),"",F11-E11+1)</f>
        <v>8.0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4" t="inlineStr">
        <is>
          <t>六章成稿</t>
        </is>
      </c>
      <c r="Q11" s="3" t="inlineStr">
        <is>
          <t>进行中</t>
        </is>
      </c>
      <c r="R11" s="3" t="inlineStr">
        <is>
          <t>高</t>
        </is>
      </c>
      <c r="S11" s="7" t="inlineStr">
        <is>
          <t>绝不后置，避免末期挤占</t>
        </is>
      </c>
    </row>
    <row r="12" ht="34" customHeight="1">
      <c r="A12" s="3" t="n">
        <v>10</v>
      </c>
      <c r="B12" s="4" t="inlineStr">
        <is>
          <t>贯穿·素材采购</t>
        </is>
      </c>
      <c r="C12" s="4" t="inlineStr">
        <is>
          <t>Mixamo 角色与动画、Quaternius 敌人、Kenney/PolyHaven 场景、音效</t>
        </is>
      </c>
      <c r="D12" s="3" t="inlineStr">
        <is>
          <t>你</t>
        </is>
      </c>
      <c r="E12" s="5" t="n">
        <v>46278</v>
      </c>
      <c r="F12" s="5" t="n">
        <v>46279</v>
      </c>
      <c r="G12" s="3">
        <f>IF(OR(E12="",F12=""),"",F12-E12+1)</f>
        <v>2.0</v>
      </c>
      <c r="H12" s="6" t="n"/>
      <c r="I12" s="6" t="n"/>
      <c r="J12" s="3" t="n"/>
      <c r="K12" s="3" t="n"/>
      <c r="L12" s="3" t="n"/>
      <c r="M12" s="3" t="n"/>
      <c r="N12" s="3" t="n"/>
      <c r="O12" s="3" t="n"/>
      <c r="P12" s="4" t="inlineStr">
        <is>
          <t>素材库就绪</t>
        </is>
      </c>
      <c r="Q12" s="3" t="inlineStr">
        <is>
          <t>未开始</t>
        </is>
      </c>
      <c r="R12" s="3" t="inlineStr">
        <is>
          <t>中</t>
        </is>
      </c>
      <c r="S12" s="7" t="inlineStr">
        <is>
          <t>优先 CC0 授权源</t>
        </is>
      </c>
    </row>
    <row r="13" ht="24" customHeight="1">
      <c r="A13" s="8" t="inlineStr">
        <is>
          <t>合计</t>
        </is>
      </c>
      <c r="B13" s="9" t="n"/>
      <c r="C13" s="9" t="n"/>
      <c r="D13" s="9" t="n"/>
      <c r="E13" s="10">
        <f>MIN(E3:E12)</f>
        <v>46278.0</v>
      </c>
      <c r="F13" s="10">
        <f>MAX(F3:F12)</f>
        <v>46285.0</v>
      </c>
      <c r="G13" s="9">
        <f>SUM(G3:G12)</f>
        <v>18.0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11" t="inlineStr">
        <is>
          <t>计划任务完成率</t>
        </is>
      </c>
      <c r="Q13" s="12">
        <f>IF(COUNTA(Q3:Q12)=0,"",COUNTIF(Q3:Q12,"已完成")/COUNTA(Q3:Q12))</f>
        <v>0.0</v>
      </c>
      <c r="R13" s="9" t="n"/>
      <c r="S13" s="9" t="n"/>
    </row>
  </sheetData>
  <autoFilter ref="A2:S12"/>
  <mergeCells count="2">
    <mergeCell ref="A13:C13"/>
    <mergeCell ref="A1:S1"/>
  </mergeCells>
  <dataValidations count="1">
    <dataValidation sqref="Q3:Q12" showDropDown="0" showInputMessage="0" showErrorMessage="0" allowBlank="1" type="list">
      <formula1>"未开始,进行中,已完成,已延期"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38" customWidth="1" min="4" max="4"/>
    <col width="8" customWidth="1" min="5" max="5"/>
    <col width="8" customWidth="1" min="6" max="6"/>
    <col width="10" customWidth="1" min="7" max="7"/>
    <col width="12" customWidth="1" min="8" max="8"/>
    <col width="26" customWidth="1" min="9" max="9"/>
    <col width="26" customWidth="1" min="10" max="10"/>
    <col width="3" customWidth="1" min="11" max="11"/>
    <col width="9" customWidth="1" min="12" max="12"/>
    <col width="12" customWidth="1" min="13" max="13"/>
    <col width="12" customWidth="1" min="14" max="14"/>
    <col width="10" customWidth="1" min="15" max="15"/>
    <col width="8" customWidth="1" min="16" max="16"/>
  </cols>
  <sheetData>
    <row r="1" ht="26" customHeight="1">
      <c r="A1" s="1" t="inlineStr">
        <is>
          <t>Sprint 任务看板 · Product Backlog 执行明细（共 98 故事点）</t>
        </is>
      </c>
      <c r="L1" s="1" t="inlineStr">
        <is>
          <t>各 Sprint 故事点完成情况</t>
        </is>
      </c>
    </row>
    <row r="2" ht="30" customHeight="1">
      <c r="A2" s="2" t="inlineStr">
        <is>
          <t>序号</t>
        </is>
      </c>
      <c r="B2" s="2" t="inlineStr">
        <is>
          <t>Sprint</t>
        </is>
      </c>
      <c r="C2" s="2" t="inlineStr">
        <is>
          <t>任务ID</t>
        </is>
      </c>
      <c r="D2" s="2" t="inlineStr">
        <is>
          <t>任务</t>
        </is>
      </c>
      <c r="E2" s="2" t="inlineStr">
        <is>
          <t>负责人</t>
        </is>
      </c>
      <c r="F2" s="2" t="inlineStr">
        <is>
          <t>故事点</t>
        </is>
      </c>
      <c r="G2" s="2" t="inlineStr">
        <is>
          <t>状态</t>
        </is>
      </c>
      <c r="H2" s="2" t="inlineStr">
        <is>
          <t>完成日期</t>
        </is>
      </c>
      <c r="I2" s="2" t="inlineStr">
        <is>
          <t>产出物</t>
        </is>
      </c>
      <c r="J2" s="2" t="inlineStr">
        <is>
          <t>备注</t>
        </is>
      </c>
      <c r="L2" s="2" t="inlineStr">
        <is>
          <t>Sprint</t>
        </is>
      </c>
      <c r="M2" s="2" t="inlineStr">
        <is>
          <t>故事点合计</t>
        </is>
      </c>
      <c r="N2" s="2" t="inlineStr">
        <is>
          <t>已完成点数</t>
        </is>
      </c>
      <c r="O2" s="2" t="inlineStr">
        <is>
          <t>完成率</t>
        </is>
      </c>
      <c r="P2" s="2" t="inlineStr">
        <is>
          <t>备注</t>
        </is>
      </c>
    </row>
    <row r="3" ht="28" customHeight="1">
      <c r="A3" s="3" t="n">
        <v>1</v>
      </c>
      <c r="B3" s="3" t="inlineStr">
        <is>
          <t>S0</t>
        </is>
      </c>
      <c r="C3" s="3" t="inlineStr">
        <is>
          <t>A1</t>
        </is>
      </c>
      <c r="D3" s="4" t="inlineStr">
        <is>
          <t>打通 Codely Bridge 远程通道</t>
        </is>
      </c>
      <c r="E3" s="3" t="inlineStr">
        <is>
          <t>你+AI</t>
        </is>
      </c>
      <c r="F3" s="13" t="n">
        <v>1</v>
      </c>
      <c r="G3" s="3" t="inlineStr">
        <is>
          <t>进行中</t>
        </is>
      </c>
      <c r="H3" s="3" t="n"/>
      <c r="I3" s="4" t="inlineStr">
        <is>
          <t>doctor 返回数字端口</t>
        </is>
      </c>
      <c r="J3" s="4" t="inlineStr">
        <is>
          <t>需先开 Unity 等首次编译</t>
        </is>
      </c>
      <c r="L3" s="3" t="inlineStr">
        <is>
          <t>S0</t>
        </is>
      </c>
      <c r="M3" s="13">
        <f>SUMIF($B$3:$B$36,$L3,$F$3:$F$36)</f>
        <v>3.0</v>
      </c>
      <c r="N3" s="13">
        <f>SUMIFS($F$3:$F$36,$B$3:$B$36,$L3,$G$3:$G$36,"已完成")</f>
        <v>2.0</v>
      </c>
      <c r="O3" s="14">
        <f>IF(OR(M3="",M3=0),"",N3/M3)</f>
        <v>0.6666666666666666</v>
      </c>
      <c r="P3" s="4" t="inlineStr"/>
    </row>
    <row r="4" ht="28" customHeight="1">
      <c r="A4" s="3" t="n">
        <v>2</v>
      </c>
      <c r="B4" s="3" t="inlineStr">
        <is>
          <t>S0</t>
        </is>
      </c>
      <c r="C4" s="3" t="inlineStr">
        <is>
          <t>A2</t>
        </is>
      </c>
      <c r="D4" s="4" t="inlineStr">
        <is>
          <t>装齐依赖包（桥/导航/摄像机/录制）</t>
        </is>
      </c>
      <c r="E4" s="3" t="inlineStr">
        <is>
          <t>AI</t>
        </is>
      </c>
      <c r="F4" s="13" t="n">
        <v>1</v>
      </c>
      <c r="G4" s="3" t="inlineStr">
        <is>
          <t>已完成</t>
        </is>
      </c>
      <c r="H4" s="5" t="n">
        <v>46278</v>
      </c>
      <c r="I4" s="4" t="inlineStr">
        <is>
          <t>manifest.json 更新</t>
        </is>
      </c>
      <c r="J4" s="4" t="inlineStr">
        <is>
          <t>已核实 2022.3 兼容版本</t>
        </is>
      </c>
      <c r="L4" s="3" t="inlineStr">
        <is>
          <t>S1</t>
        </is>
      </c>
      <c r="M4" s="13">
        <f>SUMIF($B$3:$B$36,$L4,$F$3:$F$36)</f>
        <v>7.0</v>
      </c>
      <c r="N4" s="13">
        <f>SUMIFS($F$3:$F$36,$B$3:$B$36,$L4,$G$3:$G$36,"已完成")</f>
        <v>0.0</v>
      </c>
      <c r="O4" s="14">
        <f>IF(OR(M4="",M4=0),"",N4/M4)</f>
        <v>0.0</v>
      </c>
      <c r="P4" s="4" t="inlineStr"/>
    </row>
    <row r="5" ht="28" customHeight="1">
      <c r="A5" s="3" t="n">
        <v>3</v>
      </c>
      <c r="B5" s="3" t="inlineStr">
        <is>
          <t>S0</t>
        </is>
      </c>
      <c r="C5" s="3" t="inlineStr">
        <is>
          <t>A3</t>
        </is>
      </c>
      <c r="D5" s="4" t="inlineStr">
        <is>
          <t>建目录骨架与项目约定</t>
        </is>
      </c>
      <c r="E5" s="3" t="inlineStr">
        <is>
          <t>AI</t>
        </is>
      </c>
      <c r="F5" s="13" t="n">
        <v>1</v>
      </c>
      <c r="G5" s="3" t="inlineStr">
        <is>
          <t>已完成</t>
        </is>
      </c>
      <c r="H5" s="5" t="n">
        <v>46278</v>
      </c>
      <c r="I5" s="4" t="inlineStr">
        <is>
          <t>Assets/_Project 33 个目录</t>
        </is>
      </c>
      <c r="J5" s="4" t="inlineStr">
        <is>
          <t>—</t>
        </is>
      </c>
      <c r="L5" s="3" t="inlineStr">
        <is>
          <t>S2</t>
        </is>
      </c>
      <c r="M5" s="13">
        <f>SUMIF($B$3:$B$36,$L5,$F$3:$F$36)</f>
        <v>11.0</v>
      </c>
      <c r="N5" s="13">
        <f>SUMIFS($F$3:$F$36,$B$3:$B$36,$L5,$G$3:$G$36,"已完成")</f>
        <v>0.0</v>
      </c>
      <c r="O5" s="14">
        <f>IF(OR(M5="",M5=0),"",N5/M5)</f>
        <v>0.0</v>
      </c>
      <c r="P5" s="4" t="inlineStr"/>
    </row>
    <row r="6" ht="28" customHeight="1">
      <c r="A6" s="3" t="n">
        <v>4</v>
      </c>
      <c r="B6" s="3" t="inlineStr">
        <is>
          <t>S1</t>
        </is>
      </c>
      <c r="C6" s="3" t="inlineStr">
        <is>
          <t>A4</t>
        </is>
      </c>
      <c r="D6" s="4" t="inlineStr">
        <is>
          <t>外部模型导入并规范为 Humanoid</t>
        </is>
      </c>
      <c r="E6" s="3" t="inlineStr">
        <is>
          <t>AI</t>
        </is>
      </c>
      <c r="F6" s="13" t="n">
        <v>2</v>
      </c>
      <c r="G6" s="3" t="inlineStr">
        <is>
          <t>未开始</t>
        </is>
      </c>
      <c r="H6" s="3" t="n"/>
      <c r="I6" s="4" t="inlineStr">
        <is>
          <t>可复用动画的角色</t>
        </is>
      </c>
      <c r="J6" s="4" t="inlineStr">
        <is>
          <t>Mixamo 导出勾 In Place</t>
        </is>
      </c>
      <c r="L6" s="3" t="inlineStr">
        <is>
          <t>S3</t>
        </is>
      </c>
      <c r="M6" s="13">
        <f>SUMIF($B$3:$B$36,$L6,$F$3:$F$36)</f>
        <v>12.0</v>
      </c>
      <c r="N6" s="13">
        <f>SUMIFS($F$3:$F$36,$B$3:$B$36,$L6,$G$3:$G$36,"已完成")</f>
        <v>0.0</v>
      </c>
      <c r="O6" s="14">
        <f>IF(OR(M6="",M6=0),"",N6/M6)</f>
        <v>0.0</v>
      </c>
      <c r="P6" s="4" t="inlineStr"/>
    </row>
    <row r="7" ht="28" customHeight="1">
      <c r="A7" s="3" t="n">
        <v>5</v>
      </c>
      <c r="B7" s="3" t="inlineStr">
        <is>
          <t>S1</t>
        </is>
      </c>
      <c r="C7" s="3" t="inlineStr">
        <is>
          <t>A5</t>
        </is>
      </c>
      <c r="D7" s="4" t="inlineStr">
        <is>
          <t>水墨禅院白盒场景</t>
        </is>
      </c>
      <c r="E7" s="3" t="inlineStr">
        <is>
          <t>AI</t>
        </is>
      </c>
      <c r="F7" s="13" t="n">
        <v>2</v>
      </c>
      <c r="G7" s="3" t="inlineStr">
        <is>
          <t>未开始</t>
        </is>
      </c>
      <c r="H7" s="3" t="n"/>
      <c r="I7" s="4" t="inlineStr">
        <is>
          <t>Scenes/Game.unity</t>
        </is>
      </c>
      <c r="J7" s="4" t="inlineStr">
        <is>
          <t>地形+光照+边界</t>
        </is>
      </c>
      <c r="L7" s="3" t="inlineStr">
        <is>
          <t>S4</t>
        </is>
      </c>
      <c r="M7" s="13">
        <f>SUMIF($B$3:$B$36,$L7,$F$3:$F$36)</f>
        <v>13.0</v>
      </c>
      <c r="N7" s="13">
        <f>SUMIFS($F$3:$F$36,$B$3:$B$36,$L7,$G$3:$G$36,"已完成")</f>
        <v>0.0</v>
      </c>
      <c r="O7" s="14">
        <f>IF(OR(M7="",M7=0),"",N7/M7)</f>
        <v>0.0</v>
      </c>
      <c r="P7" s="4" t="inlineStr"/>
    </row>
    <row r="8" ht="28" customHeight="1">
      <c r="A8" s="3" t="n">
        <v>6</v>
      </c>
      <c r="B8" s="3" t="inlineStr">
        <is>
          <t>S1</t>
        </is>
      </c>
      <c r="C8" s="3" t="inlineStr">
        <is>
          <t>B1</t>
        </is>
      </c>
      <c r="D8" s="4" t="inlineStr">
        <is>
          <t>角色移动/转向/冲刺 + 跟随镜头</t>
        </is>
      </c>
      <c r="E8" s="3" t="inlineStr">
        <is>
          <t>AI</t>
        </is>
      </c>
      <c r="F8" s="13" t="n">
        <v>3</v>
      </c>
      <c r="G8" s="3" t="inlineStr">
        <is>
          <t>未开始</t>
        </is>
      </c>
      <c r="H8" s="3" t="n"/>
      <c r="I8" s="4" t="inlineStr">
        <is>
          <t>PlayerController.cs</t>
        </is>
      </c>
      <c r="J8" s="4" t="inlineStr">
        <is>
          <t>Cinemachine 2.10.7</t>
        </is>
      </c>
      <c r="L8" s="3" t="inlineStr">
        <is>
          <t>S5</t>
        </is>
      </c>
      <c r="M8" s="13">
        <f>SUMIF($B$3:$B$36,$L8,$F$3:$F$36)</f>
        <v>24.0</v>
      </c>
      <c r="N8" s="13">
        <f>SUMIFS($F$3:$F$36,$B$3:$B$36,$L8,$G$3:$G$36,"已完成")</f>
        <v>0.0</v>
      </c>
      <c r="O8" s="14">
        <f>IF(OR(M8="",M8=0),"",N8/M8)</f>
        <v>0.0</v>
      </c>
      <c r="P8" s="4" t="inlineStr"/>
    </row>
    <row r="9" ht="28" customHeight="1">
      <c r="A9" s="3" t="n">
        <v>7</v>
      </c>
      <c r="B9" s="3" t="inlineStr">
        <is>
          <t>S2</t>
        </is>
      </c>
      <c r="C9" s="3" t="inlineStr">
        <is>
          <t>B2</t>
        </is>
      </c>
      <c r="D9" s="4" t="inlineStr">
        <is>
          <t>三段连击与蓄力重击</t>
        </is>
      </c>
      <c r="E9" s="3" t="inlineStr">
        <is>
          <t>AI</t>
        </is>
      </c>
      <c r="F9" s="13" t="n">
        <v>5</v>
      </c>
      <c r="G9" s="3" t="inlineStr">
        <is>
          <t>未开始</t>
        </is>
      </c>
      <c r="H9" s="3" t="n"/>
      <c r="I9" s="4" t="inlineStr">
        <is>
          <t>PlayerCombat.cs</t>
        </is>
      </c>
      <c r="J9" s="4" t="inlineStr">
        <is>
          <t>第 3 段带前冲位移</t>
        </is>
      </c>
      <c r="L9" s="3" t="inlineStr">
        <is>
          <t>S6</t>
        </is>
      </c>
      <c r="M9" s="13">
        <f>SUMIF($B$3:$B$36,$L9,$F$3:$F$36)</f>
        <v>11.0</v>
      </c>
      <c r="N9" s="13">
        <f>SUMIFS($F$3:$F$36,$B$3:$B$36,$L9,$G$3:$G$36,"已完成")</f>
        <v>0.0</v>
      </c>
      <c r="O9" s="14">
        <f>IF(OR(M9="",M9=0),"",N9/M9)</f>
        <v>0.0</v>
      </c>
      <c r="P9" s="4" t="inlineStr"/>
    </row>
    <row r="10" ht="28" customHeight="1">
      <c r="A10" s="3" t="n">
        <v>8</v>
      </c>
      <c r="B10" s="3" t="inlineStr">
        <is>
          <t>S2</t>
        </is>
      </c>
      <c r="C10" s="3" t="inlineStr">
        <is>
          <t>B3</t>
        </is>
      </c>
      <c r="D10" s="4" t="inlineStr">
        <is>
          <t>闪避翻滚与无敌帧</t>
        </is>
      </c>
      <c r="E10" s="3" t="inlineStr">
        <is>
          <t>AI</t>
        </is>
      </c>
      <c r="F10" s="13" t="n">
        <v>3</v>
      </c>
      <c r="G10" s="3" t="inlineStr">
        <is>
          <t>未开始</t>
        </is>
      </c>
      <c r="H10" s="3" t="n"/>
      <c r="I10" s="4" t="inlineStr">
        <is>
          <t>闪避模块（含 i-frame）</t>
        </is>
      </c>
      <c r="J10" s="4" t="inlineStr">
        <is>
          <t>可取消后摇</t>
        </is>
      </c>
      <c r="L10" s="3" t="inlineStr">
        <is>
          <t>S7</t>
        </is>
      </c>
      <c r="M10" s="13">
        <f>SUMIF($B$3:$B$36,$L10,$F$3:$F$36)</f>
        <v>2.0</v>
      </c>
      <c r="N10" s="13">
        <f>SUMIFS($F$3:$F$36,$B$3:$B$36,$L10,$G$3:$G$36,"已完成")</f>
        <v>0.0</v>
      </c>
      <c r="O10" s="14">
        <f>IF(OR(M10="",M10=0),"",N10/M10)</f>
        <v>0.0</v>
      </c>
      <c r="P10" s="4" t="inlineStr"/>
    </row>
    <row r="11" ht="28" customHeight="1">
      <c r="A11" s="3" t="n">
        <v>9</v>
      </c>
      <c r="B11" s="3" t="inlineStr">
        <is>
          <t>S2</t>
        </is>
      </c>
      <c r="C11" s="3" t="inlineStr">
        <is>
          <t>B4</t>
        </is>
      </c>
      <c r="D11" s="4" t="inlineStr">
        <is>
          <t>受击硬直/击退/顿帧/镜头震动</t>
        </is>
      </c>
      <c r="E11" s="3" t="inlineStr">
        <is>
          <t>AI</t>
        </is>
      </c>
      <c r="F11" s="13" t="n">
        <v>3</v>
      </c>
      <c r="G11" s="3" t="inlineStr">
        <is>
          <t>未开始</t>
        </is>
      </c>
      <c r="H11" s="3" t="n"/>
      <c r="I11" s="4" t="inlineStr">
        <is>
          <t>HitStop.cs</t>
        </is>
      </c>
      <c r="J11" s="4" t="inlineStr">
        <is>
          <t>打击感核心</t>
        </is>
      </c>
      <c r="L11" s="3" t="inlineStr">
        <is>
          <t>贯穿</t>
        </is>
      </c>
      <c r="M11" s="13">
        <f>SUMIF($B$3:$B$36,$L11,$F$3:$F$36)</f>
        <v>15.0</v>
      </c>
      <c r="N11" s="13">
        <f>SUMIFS($F$3:$F$36,$B$3:$B$36,$L11,$G$3:$G$36,"已完成")</f>
        <v>0.0</v>
      </c>
      <c r="O11" s="14">
        <f>IF(OR(M11="",M11=0),"",N11/M11)</f>
        <v>0.0</v>
      </c>
      <c r="P11" s="4" t="inlineStr"/>
    </row>
    <row r="12" ht="28" customHeight="1">
      <c r="A12" s="3" t="n">
        <v>10</v>
      </c>
      <c r="B12" s="3" t="inlineStr">
        <is>
          <t>S3</t>
        </is>
      </c>
      <c r="C12" s="3" t="inlineStr">
        <is>
          <t>C1</t>
        </is>
      </c>
      <c r="D12" s="4" t="inlineStr">
        <is>
          <t>NavMesh 烘焙流程</t>
        </is>
      </c>
      <c r="E12" s="3" t="inlineStr">
        <is>
          <t>AI</t>
        </is>
      </c>
      <c r="F12" s="13" t="n">
        <v>2</v>
      </c>
      <c r="G12" s="3" t="inlineStr">
        <is>
          <t>未开始</t>
        </is>
      </c>
      <c r="H12" s="3" t="n"/>
      <c r="I12" s="4" t="inlineStr">
        <is>
          <t>NavMesh 数据</t>
        </is>
      </c>
      <c r="J12" s="4" t="inlineStr">
        <is>
          <t>依赖 com.unity.ai.navigation</t>
        </is>
      </c>
      <c r="L12" s="15" t="inlineStr">
        <is>
          <t>合计</t>
        </is>
      </c>
      <c r="M12" s="16">
        <f>SUM(M3:M11)</f>
        <v>98.0</v>
      </c>
      <c r="N12" s="16">
        <f>SUM(N3:N11)</f>
        <v>2.0</v>
      </c>
      <c r="O12" s="17">
        <f>IF(OR(M12="",M12=0),"",N12/M12)</f>
        <v>0.02040816326530612</v>
      </c>
      <c r="P12" s="15" t="n"/>
    </row>
    <row r="13" ht="28" customHeight="1">
      <c r="A13" s="3" t="n">
        <v>11</v>
      </c>
      <c r="B13" s="3" t="inlineStr">
        <is>
          <t>S3</t>
        </is>
      </c>
      <c r="C13" s="3" t="inlineStr">
        <is>
          <t>C2</t>
        </is>
      </c>
      <c r="D13" s="4" t="inlineStr">
        <is>
          <t>敌人行为状态机</t>
        </is>
      </c>
      <c r="E13" s="3" t="inlineStr">
        <is>
          <t>AI</t>
        </is>
      </c>
      <c r="F13" s="13" t="n">
        <v>3</v>
      </c>
      <c r="G13" s="3" t="inlineStr">
        <is>
          <t>未开始</t>
        </is>
      </c>
      <c r="H13" s="3" t="n"/>
      <c r="I13" s="4" t="inlineStr">
        <is>
          <t>EnemyFSM.cs</t>
        </is>
      </c>
      <c r="J13" s="4" t="inlineStr">
        <is>
          <t>巡逻/追击/攻击/硬直/死亡</t>
        </is>
      </c>
    </row>
    <row r="14" ht="28" customHeight="1">
      <c r="A14" s="3" t="n">
        <v>12</v>
      </c>
      <c r="B14" s="3" t="inlineStr">
        <is>
          <t>S3</t>
        </is>
      </c>
      <c r="C14" s="3" t="inlineStr">
        <is>
          <t>C3</t>
        </is>
      </c>
      <c r="D14" s="4" t="inlineStr">
        <is>
          <t>3 种差异化敌人</t>
        </is>
      </c>
      <c r="E14" s="3" t="inlineStr">
        <is>
          <t>AI</t>
        </is>
      </c>
      <c r="F14" s="13" t="n">
        <v>5</v>
      </c>
      <c r="G14" s="3" t="inlineStr">
        <is>
          <t>未开始</t>
        </is>
      </c>
      <c r="H14" s="3" t="n"/>
      <c r="I14" s="4" t="inlineStr">
        <is>
          <t>近战/远程/精英</t>
        </is>
      </c>
      <c r="J14" s="4" t="inlineStr">
        <is>
          <t>精英含可弹反窗口</t>
        </is>
      </c>
    </row>
    <row r="15" ht="28" customHeight="1">
      <c r="A15" s="3" t="n">
        <v>13</v>
      </c>
      <c r="B15" s="3" t="inlineStr">
        <is>
          <t>S3</t>
        </is>
      </c>
      <c r="C15" s="3" t="inlineStr">
        <is>
          <t>C4</t>
        </is>
      </c>
      <c r="D15" s="4" t="inlineStr">
        <is>
          <t>波次生成器与房间控制</t>
        </is>
      </c>
      <c r="E15" s="3" t="inlineStr">
        <is>
          <t>AI</t>
        </is>
      </c>
      <c r="F15" s="13" t="n">
        <v>2</v>
      </c>
      <c r="G15" s="3" t="inlineStr">
        <is>
          <t>未开始</t>
        </is>
      </c>
      <c r="H15" s="3" t="n"/>
      <c r="I15" s="4" t="inlineStr">
        <is>
          <t>WaveSpawner.cs</t>
        </is>
      </c>
      <c r="J15" s="4" t="inlineStr">
        <is>
          <t>清空房间才开门</t>
        </is>
      </c>
    </row>
    <row r="16" ht="28" customHeight="1">
      <c r="A16" s="3" t="n">
        <v>14</v>
      </c>
      <c r="B16" s="3" t="inlineStr">
        <is>
          <t>S4</t>
        </is>
      </c>
      <c r="C16" s="3" t="inlineStr">
        <is>
          <t>E1</t>
        </is>
      </c>
      <c r="D16" s="4" t="inlineStr">
        <is>
          <t>多阶色调映射光照模型</t>
        </is>
      </c>
      <c r="E16" s="3" t="inlineStr">
        <is>
          <t>AI</t>
        </is>
      </c>
      <c r="F16" s="13" t="n">
        <v>5</v>
      </c>
      <c r="G16" s="3" t="inlineStr">
        <is>
          <t>未开始</t>
        </is>
      </c>
      <c r="H16" s="3" t="n"/>
      <c r="I16" s="4" t="inlineStr">
        <is>
          <t>InkCharacter.shader</t>
        </is>
      </c>
      <c r="J16" s="4" t="inlineStr">
        <is>
          <t>论文 3.2</t>
        </is>
      </c>
    </row>
    <row r="17" ht="28" customHeight="1">
      <c r="A17" s="3" t="n">
        <v>15</v>
      </c>
      <c r="B17" s="3" t="inlineStr">
        <is>
          <t>S4</t>
        </is>
      </c>
      <c r="C17" s="3" t="inlineStr">
        <is>
          <t>E2</t>
        </is>
      </c>
      <c r="D17" s="4" t="inlineStr">
        <is>
          <t>噪波扰动的“飞白”边缘提取</t>
        </is>
      </c>
      <c r="E17" s="3" t="inlineStr">
        <is>
          <t>AI</t>
        </is>
      </c>
      <c r="F17" s="13" t="n">
        <v>5</v>
      </c>
      <c r="G17" s="3" t="inlineStr">
        <is>
          <t>未开始</t>
        </is>
      </c>
      <c r="H17" s="3" t="n"/>
      <c r="I17" s="4" t="inlineStr">
        <is>
          <t>InkRendererFeature.cs</t>
        </is>
      </c>
      <c r="J17" s="4" t="inlineStr">
        <is>
          <t>论文 3.3 · 核心创新点</t>
        </is>
      </c>
    </row>
    <row r="18" ht="28" customHeight="1">
      <c r="A18" s="3" t="n">
        <v>16</v>
      </c>
      <c r="B18" s="3" t="inlineStr">
        <is>
          <t>S4</t>
        </is>
      </c>
      <c r="C18" s="3" t="inlineStr">
        <is>
          <t>E3</t>
        </is>
      </c>
      <c r="D18" s="4" t="inlineStr">
        <is>
          <t>程序化宣纸质感底纹</t>
        </is>
      </c>
      <c r="E18" s="3" t="inlineStr">
        <is>
          <t>AI</t>
        </is>
      </c>
      <c r="F18" s="13" t="n">
        <v>3</v>
      </c>
      <c r="G18" s="3" t="inlineStr">
        <is>
          <t>未开始</t>
        </is>
      </c>
      <c r="H18" s="3" t="n"/>
      <c r="I18" s="4" t="inlineStr">
        <is>
          <t>多层 Perlin 噪声</t>
        </is>
      </c>
      <c r="J18" s="4" t="inlineStr">
        <is>
          <t>论文 3.4 前半</t>
        </is>
      </c>
    </row>
    <row r="19" ht="28" customHeight="1">
      <c r="A19" s="3" t="n">
        <v>17</v>
      </c>
      <c r="B19" s="3" t="inlineStr">
        <is>
          <t>S5</t>
        </is>
      </c>
      <c r="C19" s="3" t="inlineStr">
        <is>
          <t>D1</t>
        </is>
      </c>
      <c r="D19" s="4" t="inlineStr">
        <is>
          <t>游戏状态机（菜单→进局→结算）</t>
        </is>
      </c>
      <c r="E19" s="3" t="inlineStr">
        <is>
          <t>AI</t>
        </is>
      </c>
      <c r="F19" s="13" t="n">
        <v>3</v>
      </c>
      <c r="G19" s="3" t="inlineStr">
        <is>
          <t>未开始</t>
        </is>
      </c>
      <c r="H19" s="3" t="n"/>
      <c r="I19" s="4" t="inlineStr">
        <is>
          <t>GameStateMachine.cs</t>
        </is>
      </c>
      <c r="J19" s="4" t="inlineStr">
        <is>
          <t>论文 4.1</t>
        </is>
      </c>
    </row>
    <row r="20" ht="28" customHeight="1">
      <c r="A20" s="3" t="n">
        <v>18</v>
      </c>
      <c r="B20" s="3" t="inlineStr">
        <is>
          <t>S5</t>
        </is>
      </c>
      <c r="C20" s="3" t="inlineStr">
        <is>
          <t>D2</t>
        </is>
      </c>
      <c r="D20" s="4" t="inlineStr">
        <is>
          <t>ScriptableObject 技能数据层</t>
        </is>
      </c>
      <c r="E20" s="3" t="inlineStr">
        <is>
          <t>AI</t>
        </is>
      </c>
      <c r="F20" s="13" t="n">
        <v>2</v>
      </c>
      <c r="G20" s="3" t="inlineStr">
        <is>
          <t>未开始</t>
        </is>
      </c>
      <c r="H20" s="3" t="n"/>
      <c r="I20" s="4" t="inlineStr">
        <is>
          <t>SkillData.cs</t>
        </is>
      </c>
      <c r="J20" s="4" t="inlineStr">
        <is>
          <t>论文 4.4</t>
        </is>
      </c>
    </row>
    <row r="21" ht="28" customHeight="1">
      <c r="A21" s="3" t="n">
        <v>19</v>
      </c>
      <c r="B21" s="3" t="inlineStr">
        <is>
          <t>S5</t>
        </is>
      </c>
      <c r="C21" s="3" t="inlineStr">
        <is>
          <t>D3</t>
        </is>
      </c>
      <c r="D21" s="4" t="inlineStr">
        <is>
          <t>加权随机技能池 + 三选一 UI</t>
        </is>
      </c>
      <c r="E21" s="3" t="inlineStr">
        <is>
          <t>AI</t>
        </is>
      </c>
      <c r="F21" s="13" t="n">
        <v>5</v>
      </c>
      <c r="G21" s="3" t="inlineStr">
        <is>
          <t>未开始</t>
        </is>
      </c>
      <c r="H21" s="3" t="n"/>
      <c r="I21" s="4" t="inlineStr">
        <is>
          <t>UpgradePanelUI.cs</t>
        </is>
      </c>
      <c r="J21" s="4" t="inlineStr">
        <is>
          <t>论文 4.4</t>
        </is>
      </c>
    </row>
    <row r="22" ht="28" customHeight="1">
      <c r="A22" s="3" t="n">
        <v>20</v>
      </c>
      <c r="B22" s="3" t="inlineStr">
        <is>
          <t>S5</t>
        </is>
      </c>
      <c r="C22" s="3" t="inlineStr">
        <is>
          <t>D4</t>
        </is>
      </c>
      <c r="D22" s="4" t="inlineStr">
        <is>
          <t>属性叠加与局内成长</t>
        </is>
      </c>
      <c r="E22" s="3" t="inlineStr">
        <is>
          <t>AI</t>
        </is>
      </c>
      <c r="F22" s="13" t="n">
        <v>3</v>
      </c>
      <c r="G22" s="3" t="inlineStr">
        <is>
          <t>未开始</t>
        </is>
      </c>
      <c r="H22" s="3" t="n"/>
      <c r="I22" s="4" t="inlineStr">
        <is>
          <t>PlayerStats.cs</t>
        </is>
      </c>
      <c r="J22" s="4" t="inlineStr">
        <is>
          <t>—</t>
        </is>
      </c>
    </row>
    <row r="23" ht="28" customHeight="1">
      <c r="A23" s="3" t="n">
        <v>21</v>
      </c>
      <c r="B23" s="3" t="inlineStr">
        <is>
          <t>S5</t>
        </is>
      </c>
      <c r="C23" s="3" t="inlineStr">
        <is>
          <t>D5</t>
        </is>
      </c>
      <c r="D23" s="4" t="inlineStr">
        <is>
          <t>房间流程与推进目标</t>
        </is>
      </c>
      <c r="E23" s="3" t="inlineStr">
        <is>
          <t>AI</t>
        </is>
      </c>
      <c r="F23" s="13" t="n">
        <v>3</v>
      </c>
      <c r="G23" s="3" t="inlineStr">
        <is>
          <t>未开始</t>
        </is>
      </c>
      <c r="H23" s="3" t="n"/>
      <c r="I23" s="4" t="inlineStr">
        <is>
          <t>RoomController.cs</t>
        </is>
      </c>
      <c r="J23" s="4" t="inlineStr">
        <is>
          <t>—</t>
        </is>
      </c>
    </row>
    <row r="24" ht="28" customHeight="1">
      <c r="A24" s="3" t="n">
        <v>22</v>
      </c>
      <c r="B24" s="3" t="inlineStr">
        <is>
          <t>S5</t>
        </is>
      </c>
      <c r="C24" s="3" t="inlineStr">
        <is>
          <t>E4</t>
        </is>
      </c>
      <c r="D24" s="4" t="inlineStr">
        <is>
          <t>墨晕扩散后处理</t>
        </is>
      </c>
      <c r="E24" s="3" t="inlineStr">
        <is>
          <t>AI</t>
        </is>
      </c>
      <c r="F24" s="13" t="n">
        <v>5</v>
      </c>
      <c r="G24" s="3" t="inlineStr">
        <is>
          <t>未开始</t>
        </is>
      </c>
      <c r="H24" s="3" t="n"/>
      <c r="I24" s="4" t="inlineStr">
        <is>
          <t>InkPostProcess 组件</t>
        </is>
      </c>
      <c r="J24" s="4" t="inlineStr">
        <is>
          <t>论文 3.4 后半</t>
        </is>
      </c>
    </row>
    <row r="25" ht="28" customHeight="1">
      <c r="A25" s="3" t="n">
        <v>23</v>
      </c>
      <c r="B25" s="3" t="inlineStr">
        <is>
          <t>S5</t>
        </is>
      </c>
      <c r="C25" s="3" t="inlineStr">
        <is>
          <t>E5</t>
        </is>
      </c>
      <c r="D25" s="4" t="inlineStr">
        <is>
          <t>水墨动作粒子（刀光/溅墨/墨花）</t>
        </is>
      </c>
      <c r="E25" s="3" t="inlineStr">
        <is>
          <t>AI</t>
        </is>
      </c>
      <c r="F25" s="13" t="n">
        <v>3</v>
      </c>
      <c r="G25" s="3" t="inlineStr">
        <is>
          <t>未开始</t>
        </is>
      </c>
      <c r="H25" s="3" t="n"/>
      <c r="I25" s="4" t="inlineStr">
        <is>
          <t>Prefabs/FX</t>
        </is>
      </c>
      <c r="J25" s="4" t="inlineStr">
        <is>
          <t>论文 3.5</t>
        </is>
      </c>
    </row>
    <row r="26" ht="28" customHeight="1">
      <c r="A26" s="3" t="n">
        <v>24</v>
      </c>
      <c r="B26" s="3" t="inlineStr">
        <is>
          <t>S6</t>
        </is>
      </c>
      <c r="C26" s="3" t="inlineStr">
        <is>
          <t>F1</t>
        </is>
      </c>
      <c r="D26" s="4" t="inlineStr">
        <is>
          <t>关键逻辑自动化测试</t>
        </is>
      </c>
      <c r="E26" s="3" t="inlineStr">
        <is>
          <t>AI</t>
        </is>
      </c>
      <c r="F26" s="13" t="n">
        <v>2</v>
      </c>
      <c r="G26" s="3" t="inlineStr">
        <is>
          <t>未开始</t>
        </is>
      </c>
      <c r="H26" s="3" t="n"/>
      <c r="I26" s="4" t="inlineStr">
        <is>
          <t>Tests/ 用例集</t>
        </is>
      </c>
      <c r="J26" s="4" t="inlineStr">
        <is>
          <t>论文 5.1</t>
        </is>
      </c>
    </row>
    <row r="27" ht="28" customHeight="1">
      <c r="A27" s="3" t="n">
        <v>25</v>
      </c>
      <c r="B27" s="3" t="inlineStr">
        <is>
          <t>S6</t>
        </is>
      </c>
      <c r="C27" s="3" t="inlineStr">
        <is>
          <t>F2</t>
        </is>
      </c>
      <c r="D27" s="4" t="inlineStr">
        <is>
          <t>Profiler 性能基线数据</t>
        </is>
      </c>
      <c r="E27" s="3" t="inlineStr">
        <is>
          <t>AI</t>
        </is>
      </c>
      <c r="F27" s="13" t="n">
        <v>2</v>
      </c>
      <c r="G27" s="3" t="inlineStr">
        <is>
          <t>未开始</t>
        </is>
      </c>
      <c r="H27" s="3" t="n"/>
      <c r="I27" s="4" t="inlineStr">
        <is>
          <t>性能数据表</t>
        </is>
      </c>
      <c r="J27" s="4" t="inlineStr">
        <is>
          <t>论文 5.2</t>
        </is>
      </c>
    </row>
    <row r="28" ht="28" customHeight="1">
      <c r="A28" s="3" t="n">
        <v>26</v>
      </c>
      <c r="B28" s="3" t="inlineStr">
        <is>
          <t>S6</t>
        </is>
      </c>
      <c r="C28" s="3" t="inlineStr">
        <is>
          <t>F3</t>
        </is>
      </c>
      <c r="D28" s="4" t="inlineStr">
        <is>
          <t>对象池与批处理优化</t>
        </is>
      </c>
      <c r="E28" s="3" t="inlineStr">
        <is>
          <t>AI</t>
        </is>
      </c>
      <c r="F28" s="13" t="n">
        <v>3</v>
      </c>
      <c r="G28" s="3" t="inlineStr">
        <is>
          <t>未开始</t>
        </is>
      </c>
      <c r="H28" s="3" t="n"/>
      <c r="I28" s="4" t="inlineStr">
        <is>
          <t>稳定 60fps</t>
        </is>
      </c>
      <c r="J28" s="4" t="inlineStr">
        <is>
          <t>论文 5.2</t>
        </is>
      </c>
    </row>
    <row r="29" ht="28" customHeight="1">
      <c r="A29" s="3" t="n">
        <v>27</v>
      </c>
      <c r="B29" s="3" t="inlineStr">
        <is>
          <t>S6</t>
        </is>
      </c>
      <c r="C29" s="3" t="inlineStr">
        <is>
          <t>F4</t>
        </is>
      </c>
      <c r="D29" s="4" t="inlineStr">
        <is>
          <t>用户测试反馈记录</t>
        </is>
      </c>
      <c r="E29" s="3" t="inlineStr">
        <is>
          <t>你</t>
        </is>
      </c>
      <c r="F29" s="13" t="n">
        <v>2</v>
      </c>
      <c r="G29" s="3" t="inlineStr">
        <is>
          <t>未开始</t>
        </is>
      </c>
      <c r="H29" s="3" t="n"/>
      <c r="I29" s="4" t="inlineStr">
        <is>
          <t>反馈记录表</t>
        </is>
      </c>
      <c r="J29" s="4" t="inlineStr">
        <is>
          <t>论文 5.3</t>
        </is>
      </c>
    </row>
    <row r="30" ht="28" customHeight="1">
      <c r="A30" s="3" t="n">
        <v>28</v>
      </c>
      <c r="B30" s="3" t="inlineStr">
        <is>
          <t>S6</t>
        </is>
      </c>
      <c r="C30" s="3" t="inlineStr">
        <is>
          <t>E6</t>
        </is>
      </c>
      <c r="D30" s="4" t="inlineStr">
        <is>
          <t>渲染效果对比截图集</t>
        </is>
      </c>
      <c r="E30" s="3" t="inlineStr">
        <is>
          <t>AI</t>
        </is>
      </c>
      <c r="F30" s="13" t="n">
        <v>2</v>
      </c>
      <c r="G30" s="3" t="inlineStr">
        <is>
          <t>未开始</t>
        </is>
      </c>
      <c r="H30" s="3" t="n"/>
      <c r="I30" s="4" t="inlineStr">
        <is>
          <t>截图集</t>
        </is>
      </c>
      <c r="J30" s="4" t="inlineStr">
        <is>
          <t>论文第 3 章插图</t>
        </is>
      </c>
    </row>
    <row r="31" ht="28" customHeight="1">
      <c r="A31" s="3" t="n">
        <v>29</v>
      </c>
      <c r="B31" s="3" t="inlineStr">
        <is>
          <t>S7</t>
        </is>
      </c>
      <c r="C31" s="3" t="inlineStr">
        <is>
          <t>G6</t>
        </is>
      </c>
      <c r="D31" s="4" t="inlineStr">
        <is>
          <t>演示录屏与 Build 打包</t>
        </is>
      </c>
      <c r="E31" s="3" t="inlineStr">
        <is>
          <t>你+AI</t>
        </is>
      </c>
      <c r="F31" s="13" t="n">
        <v>2</v>
      </c>
      <c r="G31" s="3" t="inlineStr">
        <is>
          <t>未开始</t>
        </is>
      </c>
      <c r="H31" s="3" t="n"/>
      <c r="I31" s="4" t="inlineStr">
        <is>
          <t>Demo 视频 + exe</t>
        </is>
      </c>
      <c r="J31" s="4" t="inlineStr">
        <is>
          <t>答辩材料</t>
        </is>
      </c>
    </row>
    <row r="32" ht="28" customHeight="1">
      <c r="A32" s="3" t="n">
        <v>30</v>
      </c>
      <c r="B32" s="3" t="inlineStr">
        <is>
          <t>贯穿</t>
        </is>
      </c>
      <c r="C32" s="3" t="inlineStr">
        <is>
          <t>G1</t>
        </is>
      </c>
      <c r="D32" s="4" t="inlineStr">
        <is>
          <t>第 1、2 章成稿</t>
        </is>
      </c>
      <c r="E32" s="3" t="inlineStr">
        <is>
          <t>AI+你</t>
        </is>
      </c>
      <c r="F32" s="13" t="n">
        <v>3</v>
      </c>
      <c r="G32" s="3" t="inlineStr">
        <is>
          <t>未开始</t>
        </is>
      </c>
      <c r="H32" s="3" t="n"/>
      <c r="I32" s="4" t="inlineStr">
        <is>
          <t>绪论 / 技术概述</t>
        </is>
      </c>
      <c r="J32" s="4" t="inlineStr">
        <is>
          <t>—</t>
        </is>
      </c>
    </row>
    <row r="33" ht="28" customHeight="1">
      <c r="A33" s="3" t="n">
        <v>31</v>
      </c>
      <c r="B33" s="3" t="inlineStr">
        <is>
          <t>贯穿</t>
        </is>
      </c>
      <c r="C33" s="3" t="inlineStr">
        <is>
          <t>G2</t>
        </is>
      </c>
      <c r="D33" s="4" t="inlineStr">
        <is>
          <t>第 3 章成稿（方案+公式+对比图）</t>
        </is>
      </c>
      <c r="E33" s="3" t="inlineStr">
        <is>
          <t>AI+你</t>
        </is>
      </c>
      <c r="F33" s="13" t="n">
        <v>5</v>
      </c>
      <c r="G33" s="3" t="inlineStr">
        <is>
          <t>未开始</t>
        </is>
      </c>
      <c r="H33" s="3" t="n"/>
      <c r="I33" s="4" t="inlineStr">
        <is>
          <t>论文核心章</t>
        </is>
      </c>
      <c r="J33" s="4" t="inlineStr">
        <is>
          <t>与 S4/S5 同步</t>
        </is>
      </c>
    </row>
    <row r="34" ht="28" customHeight="1">
      <c r="A34" s="3" t="n">
        <v>32</v>
      </c>
      <c r="B34" s="3" t="inlineStr">
        <is>
          <t>贯穿</t>
        </is>
      </c>
      <c r="C34" s="3" t="inlineStr">
        <is>
          <t>G3</t>
        </is>
      </c>
      <c r="D34" s="4" t="inlineStr">
        <is>
          <t>第 4 章成稿（架构图+类图+流程图）</t>
        </is>
      </c>
      <c r="E34" s="3" t="inlineStr">
        <is>
          <t>AI+你</t>
        </is>
      </c>
      <c r="F34" s="13" t="n">
        <v>3</v>
      </c>
      <c r="G34" s="3" t="inlineStr">
        <is>
          <t>未开始</t>
        </is>
      </c>
      <c r="H34" s="3" t="n"/>
      <c r="I34" s="4" t="inlineStr">
        <is>
          <t>系统设计章</t>
        </is>
      </c>
      <c r="J34" s="4" t="inlineStr">
        <is>
          <t>与 S1-S5 同步</t>
        </is>
      </c>
    </row>
    <row r="35" ht="28" customHeight="1">
      <c r="A35" s="3" t="n">
        <v>33</v>
      </c>
      <c r="B35" s="3" t="inlineStr">
        <is>
          <t>贯穿</t>
        </is>
      </c>
      <c r="C35" s="3" t="inlineStr">
        <is>
          <t>G4</t>
        </is>
      </c>
      <c r="D35" s="4" t="inlineStr">
        <is>
          <t>第 5 章成稿（测试用例+性能数据）</t>
        </is>
      </c>
      <c r="E35" s="3" t="inlineStr">
        <is>
          <t>AI+你</t>
        </is>
      </c>
      <c r="F35" s="13" t="n">
        <v>2</v>
      </c>
      <c r="G35" s="3" t="inlineStr">
        <is>
          <t>未开始</t>
        </is>
      </c>
      <c r="H35" s="3" t="n"/>
      <c r="I35" s="4" t="inlineStr">
        <is>
          <t>测试与优化章</t>
        </is>
      </c>
      <c r="J35" s="4" t="inlineStr">
        <is>
          <t>与 S6 同步</t>
        </is>
      </c>
    </row>
    <row r="36" ht="28" customHeight="1">
      <c r="A36" s="3" t="n">
        <v>34</v>
      </c>
      <c r="B36" s="3" t="inlineStr">
        <is>
          <t>贯穿</t>
        </is>
      </c>
      <c r="C36" s="3" t="inlineStr">
        <is>
          <t>G5</t>
        </is>
      </c>
      <c r="D36" s="4" t="inlineStr">
        <is>
          <t>第 6 章 + 摘要 + 目录 + 参考文献</t>
        </is>
      </c>
      <c r="E36" s="3" t="inlineStr">
        <is>
          <t>AI+你</t>
        </is>
      </c>
      <c r="F36" s="13" t="n">
        <v>2</v>
      </c>
      <c r="G36" s="3" t="inlineStr">
        <is>
          <t>未开始</t>
        </is>
      </c>
      <c r="H36" s="3" t="n"/>
      <c r="I36" s="4" t="inlineStr">
        <is>
          <t>收尾章</t>
        </is>
      </c>
      <c r="J36" s="4" t="inlineStr">
        <is>
          <t>—</t>
        </is>
      </c>
    </row>
    <row r="37" ht="24" customHeight="1">
      <c r="A37" s="8" t="inlineStr">
        <is>
          <t>合计</t>
        </is>
      </c>
      <c r="B37" s="8" t="n"/>
      <c r="C37" s="8" t="n"/>
      <c r="D37" s="8" t="n"/>
      <c r="E37" s="8" t="n"/>
      <c r="F37" s="18">
        <f>SUM(F3:F36)</f>
        <v>98.0</v>
      </c>
      <c r="G37" s="11" t="inlineStr">
        <is>
          <t>已完成点占比</t>
        </is>
      </c>
      <c r="H37" s="12">
        <f>IF(SUM(F3:F36)=0,"",SUMIF(G3:G36,"已完成",F3:F36)/SUM(F3:F36))</f>
        <v>0.02040816326530612</v>
      </c>
      <c r="I37" s="8" t="n"/>
      <c r="J37" s="8" t="n"/>
    </row>
  </sheetData>
  <autoFilter ref="A2:J36"/>
  <mergeCells count="3">
    <mergeCell ref="A1:J1"/>
    <mergeCell ref="A37:E37"/>
    <mergeCell ref="L1:P1"/>
  </mergeCells>
  <conditionalFormatting sqref="G3:G36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"已延期"</formula>
    </cfRule>
  </conditionalFormatting>
  <conditionalFormatting sqref="O3:O12">
    <cfRule type="cellIs" priority="4" operator="greaterThanOrEqual" dxfId="0">
      <formula>1</formula>
    </cfRule>
    <cfRule type="cellIs" priority="5" operator="lessThan" dxfId="3">
      <formula>0.5</formula>
    </cfRule>
  </conditionalFormatting>
  <dataValidations count="1">
    <dataValidation sqref="G3:G36" showDropDown="0" showInputMessage="0" showErrorMessage="0" allowBlank="1" type="list">
      <formula1>"未开始,进行中,已完成,已延期"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30" customWidth="1" min="5" max="5"/>
    <col width="11" customWidth="1" min="6" max="6"/>
    <col width="12" customWidth="1" min="7" max="7"/>
    <col width="12" customWidth="1" min="8" max="8"/>
  </cols>
  <sheetData>
    <row r="1" ht="26" customHeight="1">
      <c r="A1" s="1" t="inlineStr">
        <is>
          <t>论文大纲 ↔ 实现产出 对照表（赛点：每个 Sprint 收尾即写对应章节）</t>
        </is>
      </c>
    </row>
    <row r="2" ht="30" customHeight="1">
      <c r="A2" s="2" t="inlineStr">
        <is>
          <t>序号</t>
        </is>
      </c>
      <c r="B2" s="2" t="inlineStr">
        <is>
          <t>章节</t>
        </is>
      </c>
      <c r="C2" s="2" t="inlineStr">
        <is>
          <t>小节</t>
        </is>
      </c>
      <c r="D2" s="2" t="inlineStr">
        <is>
          <t>对应实现 / 产出</t>
        </is>
      </c>
      <c r="E2" s="2" t="inlineStr">
        <is>
          <t>需用素材与图表</t>
        </is>
      </c>
      <c r="F2" s="2" t="inlineStr">
        <is>
          <t>数据来源</t>
        </is>
      </c>
      <c r="G2" s="2" t="inlineStr">
        <is>
          <t>状态</t>
        </is>
      </c>
      <c r="H2" s="2" t="inlineStr">
        <is>
          <t>计划完成</t>
        </is>
      </c>
    </row>
    <row r="3" ht="28" customHeight="1">
      <c r="A3" s="3" t="n">
        <v>1</v>
      </c>
      <c r="B3" s="4" t="inlineStr">
        <is>
          <t>第一章 绪论</t>
        </is>
      </c>
      <c r="C3" s="4" t="inlineStr">
        <is>
          <t>1.1 研究背景与意义</t>
        </is>
      </c>
      <c r="D3" s="4" t="inlineStr">
        <is>
          <t>水墨风格化游戏的发展脉络</t>
        </is>
      </c>
      <c r="E3" s="4" t="inlineStr">
        <is>
          <t>现状梳理引用</t>
        </is>
      </c>
      <c r="F3" s="4" t="inlineStr">
        <is>
          <t>文献调研</t>
        </is>
      </c>
      <c r="G3" s="3" t="inlineStr">
        <is>
          <t>未开始</t>
        </is>
      </c>
      <c r="H3" s="5" t="n">
        <v>46279</v>
      </c>
    </row>
    <row r="4" ht="28" customHeight="1">
      <c r="A4" s="3" t="n">
        <v>2</v>
      </c>
      <c r="B4" s="4" t="inlineStr">
        <is>
          <t>第一章 绪论</t>
        </is>
      </c>
      <c r="C4" s="4" t="inlineStr">
        <is>
          <t>1.2 国内外研究与发展现状</t>
        </is>
      </c>
      <c r="D4" s="4" t="inlineStr">
        <is>
          <t>相关作品与技术路线对比表</t>
        </is>
      </c>
      <c r="E4" s="4" t="inlineStr">
        <is>
          <t>作品对比表</t>
        </is>
      </c>
      <c r="F4" s="4" t="inlineStr">
        <is>
          <t>文献调研</t>
        </is>
      </c>
      <c r="G4" s="3" t="inlineStr">
        <is>
          <t>未开始</t>
        </is>
      </c>
      <c r="H4" s="5" t="n">
        <v>46279</v>
      </c>
    </row>
    <row r="5" ht="28" customHeight="1">
      <c r="A5" s="3" t="n">
        <v>3</v>
      </c>
      <c r="B5" s="4" t="inlineStr">
        <is>
          <t>第一章 绪论</t>
        </is>
      </c>
      <c r="C5" s="4" t="inlineStr">
        <is>
          <t>1.3 主要研究内容与论文结构</t>
        </is>
      </c>
      <c r="D5" s="4" t="inlineStr">
        <is>
          <t>本文技术路线图</t>
        </is>
      </c>
      <c r="E5" s="4" t="inlineStr">
        <is>
          <t>技术路线图</t>
        </is>
      </c>
      <c r="F5" s="4" t="inlineStr">
        <is>
          <t>自制</t>
        </is>
      </c>
      <c r="G5" s="3" t="inlineStr">
        <is>
          <t>未开始</t>
        </is>
      </c>
      <c r="H5" s="5" t="n">
        <v>46279</v>
      </c>
    </row>
    <row r="6" ht="28" customHeight="1">
      <c r="A6" s="3" t="n">
        <v>4</v>
      </c>
      <c r="B6" s="4" t="inlineStr">
        <is>
          <t>第二章 开发环境与核心技术</t>
        </is>
      </c>
      <c r="C6" s="4" t="inlineStr">
        <is>
          <t>2.1 Unity引擎与URP通用渲染管线</t>
        </is>
      </c>
      <c r="D6" s="4" t="inlineStr">
        <is>
          <t>工程实测版本与管线架构图</t>
        </is>
      </c>
      <c r="E6" s="4" t="inlineStr">
        <is>
          <t>管线架构图</t>
        </is>
      </c>
      <c r="F6" s="4" t="inlineStr">
        <is>
          <t>工程实测</t>
        </is>
      </c>
      <c r="G6" s="3" t="inlineStr">
        <is>
          <t>未开始</t>
        </is>
      </c>
      <c r="H6" s="5" t="n">
        <v>46279</v>
      </c>
    </row>
    <row r="7" ht="28" customHeight="1">
      <c r="A7" s="3" t="n">
        <v>5</v>
      </c>
      <c r="B7" s="4" t="inlineStr">
        <is>
          <t>第二章 开发环境与核心技术</t>
        </is>
      </c>
      <c r="C7" s="4" t="inlineStr">
        <is>
          <t>2.2 基于HLSL的自定义着色器编程技术</t>
        </is>
      </c>
      <c r="D7" s="4" t="inlineStr">
        <is>
          <t>URP Shader 编写流程图</t>
        </is>
      </c>
      <c r="E7" s="4" t="inlineStr">
        <is>
          <t>Shader 结构图</t>
        </is>
      </c>
      <c r="F7" s="4" t="inlineStr">
        <is>
          <t>工程实测</t>
        </is>
      </c>
      <c r="G7" s="3" t="inlineStr">
        <is>
          <t>未开始</t>
        </is>
      </c>
      <c r="H7" s="5" t="n">
        <v>46280</v>
      </c>
    </row>
    <row r="8" ht="28" customHeight="1">
      <c r="A8" s="3" t="n">
        <v>6</v>
      </c>
      <c r="B8" s="4" t="inlineStr">
        <is>
          <t>第二章 开发环境与核心技术</t>
        </is>
      </c>
      <c r="C8" s="4" t="inlineStr">
        <is>
          <t>2.3 Roguelike游戏设计理念</t>
        </is>
      </c>
      <c r="D8" s="4" t="inlineStr">
        <is>
          <t>随机性与成长曲线说明</t>
        </is>
      </c>
      <c r="E8" s="4" t="inlineStr">
        <is>
          <t>成长曲线示意</t>
        </is>
      </c>
      <c r="F8" s="4" t="inlineStr">
        <is>
          <t>文献+设计</t>
        </is>
      </c>
      <c r="G8" s="3" t="inlineStr">
        <is>
          <t>未开始</t>
        </is>
      </c>
      <c r="H8" s="5" t="n">
        <v>46280</v>
      </c>
    </row>
    <row r="9" ht="28" customHeight="1">
      <c r="A9" s="3" t="n">
        <v>7</v>
      </c>
      <c r="B9" s="4" t="inlineStr">
        <is>
          <t>第三章 3D水墨风格化渲染 ★</t>
        </is>
      </c>
      <c r="C9" s="4" t="inlineStr">
        <is>
          <t>3.1 3D水墨视觉特征提取与技术难点</t>
        </is>
      </c>
      <c r="D9" s="4" t="inlineStr">
        <is>
          <t>水墨画视觉特征分析</t>
        </is>
      </c>
      <c r="E9" s="4" t="inlineStr">
        <is>
          <t>特征分析图 + 难点归纳表</t>
        </is>
      </c>
      <c r="F9" s="4" t="inlineStr">
        <is>
          <t>自制</t>
        </is>
      </c>
      <c r="G9" s="3" t="inlineStr">
        <is>
          <t>未开始</t>
        </is>
      </c>
      <c r="H9" s="5" t="n">
        <v>46282</v>
      </c>
    </row>
    <row r="10" ht="28" customHeight="1">
      <c r="A10" s="3" t="n">
        <v>8</v>
      </c>
      <c r="B10" s="4" t="inlineStr">
        <is>
          <t>第三章 3D水墨风格化渲染 ★</t>
        </is>
      </c>
      <c r="C10" s="4" t="inlineStr">
        <is>
          <t>3.2 基于多阶色调映射的光照模型重构</t>
        </is>
      </c>
      <c r="D10" s="4" t="inlineStr">
        <is>
          <t>多阶量化 Ramp 光照</t>
        </is>
      </c>
      <c r="E10" s="4" t="inlineStr">
        <is>
          <t>Ramp 示意 + 效果对比截图</t>
        </is>
      </c>
      <c r="F10" s="4" t="inlineStr">
        <is>
          <t>S4 产出</t>
        </is>
      </c>
      <c r="G10" s="3" t="inlineStr">
        <is>
          <t>未开始</t>
        </is>
      </c>
      <c r="H10" s="5" t="n">
        <v>46282</v>
      </c>
    </row>
    <row r="11" ht="28" customHeight="1">
      <c r="A11" s="3" t="n">
        <v>9</v>
      </c>
      <c r="B11" s="4" t="inlineStr">
        <is>
          <t>第三章 3D水墨风格化渲染 ★</t>
        </is>
      </c>
      <c r="C11" s="4" t="inlineStr">
        <is>
          <t>3.3 结合噪波扰动的“飞白”边缘提取算法</t>
        </is>
      </c>
      <c r="D11" s="4" t="inlineStr">
        <is>
          <t>飞白边缘算法（核心创新）</t>
        </is>
      </c>
      <c r="E11" s="4" t="inlineStr">
        <is>
          <t>算法流程图 + 公式 + 参数对比图</t>
        </is>
      </c>
      <c r="F11" s="4" t="inlineStr">
        <is>
          <t>S4 产出</t>
        </is>
      </c>
      <c r="G11" s="3" t="inlineStr">
        <is>
          <t>未开始</t>
        </is>
      </c>
      <c r="H11" s="5" t="n">
        <v>46282</v>
      </c>
    </row>
    <row r="12" ht="28" customHeight="1">
      <c r="A12" s="3" t="n">
        <v>10</v>
      </c>
      <c r="B12" s="4" t="inlineStr">
        <is>
          <t>第三章 3D水墨风格化渲染 ★</t>
        </is>
      </c>
      <c r="C12" s="4" t="inlineStr">
        <is>
          <t>3.4 宣纸质感与晕染后处理特效</t>
        </is>
      </c>
      <c r="D12" s="4" t="inlineStr">
        <is>
          <t>宣纸底纹 + 墨晕扩散</t>
        </is>
      </c>
      <c r="E12" s="4" t="inlineStr">
        <is>
          <t>效果对比截图</t>
        </is>
      </c>
      <c r="F12" s="4" t="inlineStr">
        <is>
          <t>S4/S5 产出</t>
        </is>
      </c>
      <c r="G12" s="3" t="inlineStr">
        <is>
          <t>未开始</t>
        </is>
      </c>
      <c r="H12" s="5" t="n">
        <v>46283</v>
      </c>
    </row>
    <row r="13" ht="28" customHeight="1">
      <c r="A13" s="3" t="n">
        <v>11</v>
      </c>
      <c r="B13" s="4" t="inlineStr">
        <is>
          <t>第三章 3D水墨风格化渲染 ★</t>
        </is>
      </c>
      <c r="C13" s="4" t="inlineStr">
        <is>
          <t>3.5 粒子特效驱动的水墨动作表现</t>
        </is>
      </c>
      <c r="D13" s="4" t="inlineStr">
        <is>
          <t>刀光/溅墨/墨花</t>
        </is>
      </c>
      <c r="E13" s="4" t="inlineStr">
        <is>
          <t>特效截图</t>
        </is>
      </c>
      <c r="F13" s="4" t="inlineStr">
        <is>
          <t>S5 产出</t>
        </is>
      </c>
      <c r="G13" s="3" t="inlineStr">
        <is>
          <t>未开始</t>
        </is>
      </c>
      <c r="H13" s="5" t="n">
        <v>46283</v>
      </c>
    </row>
    <row r="14" ht="28" customHeight="1">
      <c r="A14" s="3" t="n">
        <v>12</v>
      </c>
      <c r="B14" s="4" t="inlineStr">
        <is>
          <t>第四章 Roguelike动作游戏系统</t>
        </is>
      </c>
      <c r="C14" s="4" t="inlineStr">
        <is>
          <t>4.1 游戏整体架构与核心玩法循环</t>
        </is>
      </c>
      <c r="D14" s="4" t="inlineStr">
        <is>
          <t>状态机与玩法闭环</t>
        </is>
      </c>
      <c r="E14" s="4" t="inlineStr">
        <is>
          <t>系统架构图 + 玩法循环流程图</t>
        </is>
      </c>
      <c r="F14" s="4" t="inlineStr">
        <is>
          <t>S5 产出</t>
        </is>
      </c>
      <c r="G14" s="3" t="inlineStr">
        <is>
          <t>未开始</t>
        </is>
      </c>
      <c r="H14" s="5" t="n">
        <v>46283</v>
      </c>
    </row>
    <row r="15" ht="28" customHeight="1">
      <c r="A15" s="3" t="n">
        <v>13</v>
      </c>
      <c r="B15" s="4" t="inlineStr">
        <is>
          <t>第四章 Roguelike动作游戏系统</t>
        </is>
      </c>
      <c r="C15" s="4" t="inlineStr">
        <is>
          <t>4.2 角色控制与战斗交互模块</t>
        </is>
      </c>
      <c r="D15" s="4" t="inlineStr">
        <is>
          <t>移动/连击/闪避/命中反馈</t>
        </is>
      </c>
      <c r="E15" s="4" t="inlineStr">
        <is>
          <t>类图 + 连击状态机图</t>
        </is>
      </c>
      <c r="F15" s="4" t="inlineStr">
        <is>
          <t>S1/S2 产出</t>
        </is>
      </c>
      <c r="G15" s="3" t="inlineStr">
        <is>
          <t>未开始</t>
        </is>
      </c>
      <c r="H15" s="5" t="n">
        <v>46281</v>
      </c>
    </row>
    <row r="16" ht="28" customHeight="1">
      <c r="A16" s="3" t="n">
        <v>14</v>
      </c>
      <c r="B16" s="4" t="inlineStr">
        <is>
          <t>第四章 Roguelike动作游戏系统</t>
        </is>
      </c>
      <c r="C16" s="4" t="inlineStr">
        <is>
          <t>4.3 敌人AI逻辑与导航网格寻路</t>
        </is>
      </c>
      <c r="D16" s="4" t="inlineStr">
        <is>
          <t>行为状态机 + NavMesh</t>
        </is>
      </c>
      <c r="E16" s="4" t="inlineStr">
        <is>
          <t>FSM 状态图 + NavMesh 示意</t>
        </is>
      </c>
      <c r="F16" s="4" t="inlineStr">
        <is>
          <t>S3 产出</t>
        </is>
      </c>
      <c r="G16" s="3" t="inlineStr">
        <is>
          <t>未开始</t>
        </is>
      </c>
      <c r="H16" s="5" t="n">
        <v>46282</v>
      </c>
    </row>
    <row r="17" ht="28" customHeight="1">
      <c r="A17" s="3" t="n">
        <v>15</v>
      </c>
      <c r="B17" s="4" t="inlineStr">
        <is>
          <t>第四章 Roguelike动作游戏系统</t>
        </is>
      </c>
      <c r="C17" s="4" t="inlineStr">
        <is>
          <t>4.4 随机技能池与局内成长机制</t>
        </is>
      </c>
      <c r="D17" s="4" t="inlineStr">
        <is>
          <t>SO 数据层 + 加权随机</t>
        </is>
      </c>
      <c r="E17" s="4" t="inlineStr">
        <is>
          <t>数据结构图 + 权重公式</t>
        </is>
      </c>
      <c r="F17" s="4" t="inlineStr">
        <is>
          <t>S5 产出</t>
        </is>
      </c>
      <c r="G17" s="3" t="inlineStr">
        <is>
          <t>未开始</t>
        </is>
      </c>
      <c r="H17" s="5" t="n">
        <v>46284</v>
      </c>
    </row>
    <row r="18" ht="28" customHeight="1">
      <c r="A18" s="3" t="n">
        <v>16</v>
      </c>
      <c r="B18" s="4" t="inlineStr">
        <is>
          <t>第五章 游戏测试与性能优化</t>
        </is>
      </c>
      <c r="C18" s="4" t="inlineStr">
        <is>
          <t>5.1 游戏功能与玩法逻辑测试</t>
        </is>
      </c>
      <c r="D18" s="4" t="inlineStr">
        <is>
          <t>自动化测试用例</t>
        </is>
      </c>
      <c r="E18" s="4" t="inlineStr">
        <is>
          <t>测试用例表 + 通过率</t>
        </is>
      </c>
      <c r="F18" s="4" t="inlineStr">
        <is>
          <t>S6 产出</t>
        </is>
      </c>
      <c r="G18" s="3" t="inlineStr">
        <is>
          <t>未开始</t>
        </is>
      </c>
      <c r="H18" s="5" t="n">
        <v>46284</v>
      </c>
    </row>
    <row r="19" ht="28" customHeight="1">
      <c r="A19" s="3" t="n">
        <v>17</v>
      </c>
      <c r="B19" s="4" t="inlineStr">
        <is>
          <t>第五章 游戏测试与性能优化</t>
        </is>
      </c>
      <c r="C19" s="4" t="inlineStr">
        <is>
          <t>5.2 渲染性能分析与优化</t>
        </is>
      </c>
      <c r="D19" s="4" t="inlineStr">
        <is>
          <t>Profiler 采集与优化对比</t>
        </is>
      </c>
      <c r="E19" s="4" t="inlineStr">
        <is>
          <t>性能数据表 + 优化前后对比</t>
        </is>
      </c>
      <c r="F19" s="4" t="inlineStr">
        <is>
          <t>S6 产出</t>
        </is>
      </c>
      <c r="G19" s="3" t="inlineStr">
        <is>
          <t>未开始</t>
        </is>
      </c>
      <c r="H19" s="5" t="n">
        <v>46284</v>
      </c>
    </row>
    <row r="20" ht="28" customHeight="1">
      <c r="A20" s="3" t="n">
        <v>18</v>
      </c>
      <c r="B20" s="4" t="inlineStr">
        <is>
          <t>第五章 游戏测试与性能优化</t>
        </is>
      </c>
      <c r="C20" s="4" t="inlineStr">
        <is>
          <t>5.3 用户体验反馈与调整</t>
        </is>
      </c>
      <c r="D20" s="4" t="inlineStr">
        <is>
          <t>问卷与改进记录</t>
        </is>
      </c>
      <c r="E20" s="4" t="inlineStr">
        <is>
          <t>问卷结果与改进记录</t>
        </is>
      </c>
      <c r="F20" s="4" t="inlineStr">
        <is>
          <t>S6 产出</t>
        </is>
      </c>
      <c r="G20" s="3" t="inlineStr">
        <is>
          <t>未开始</t>
        </is>
      </c>
      <c r="H20" s="5" t="n">
        <v>46285</v>
      </c>
    </row>
    <row r="21" ht="28" customHeight="1">
      <c r="A21" s="3" t="n">
        <v>19</v>
      </c>
      <c r="B21" s="4" t="inlineStr">
        <is>
          <t>第六章 总结与展望</t>
        </is>
      </c>
      <c r="C21" s="4" t="inlineStr">
        <is>
          <t>6.1 本文工作总结</t>
        </is>
      </c>
      <c r="D21" s="4" t="inlineStr">
        <is>
          <t>全文成果归纳</t>
        </is>
      </c>
      <c r="E21" s="4" t="inlineStr">
        <is>
          <t>—</t>
        </is>
      </c>
      <c r="F21" s="4" t="inlineStr">
        <is>
          <t>汇总</t>
        </is>
      </c>
      <c r="G21" s="3" t="inlineStr">
        <is>
          <t>未开始</t>
        </is>
      </c>
      <c r="H21" s="5" t="n">
        <v>46285</v>
      </c>
    </row>
    <row r="22" ht="28" customHeight="1">
      <c r="A22" s="3" t="n">
        <v>20</v>
      </c>
      <c r="B22" s="4" t="inlineStr">
        <is>
          <t>第六章 总结与展望</t>
        </is>
      </c>
      <c r="C22" s="4" t="inlineStr">
        <is>
          <t>6.2 存在不足与未来展望</t>
        </is>
      </c>
      <c r="D22" s="4" t="inlineStr">
        <is>
          <t>不足与后续方向</t>
        </is>
      </c>
      <c r="E22" s="4" t="inlineStr">
        <is>
          <t>—</t>
        </is>
      </c>
      <c r="F22" s="4" t="inlineStr">
        <is>
          <t>汇总</t>
        </is>
      </c>
      <c r="G22" s="3" t="inlineStr">
        <is>
          <t>未开始</t>
        </is>
      </c>
      <c r="H22" s="5" t="n">
        <v>46285</v>
      </c>
    </row>
  </sheetData>
  <autoFilter ref="A2:H22"/>
  <mergeCells count="1">
    <mergeCell ref="A1:H1"/>
  </mergeCells>
  <conditionalFormatting sqref="G3:G22">
    <cfRule type="cellIs" priority="1" operator="equal" dxfId="0">
      <formula>"已完稿"</formula>
    </cfRule>
    <cfRule type="cellIs" priority="2" operator="equal" dxfId="1">
      <formula>"写作中"</formula>
    </cfRule>
    <cfRule type="cellIs" priority="3" operator="equal" dxfId="4">
      <formula>"待导师确认"</formula>
    </cfRule>
  </conditionalFormatting>
  <dataValidations count="1">
    <dataValidation sqref="G3:G22" showDropDown="0" showInputMessage="0" showErrorMessage="0" allowBlank="1" type="list">
      <formula1>"未开始,写作中,已完稿,待导师确认"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5" customWidth="1" min="5" max="5"/>
    <col width="8" customWidth="1" min="6" max="6"/>
    <col width="11" customWidth="1" min="7" max="7"/>
    <col width="30" customWidth="1" min="8" max="8"/>
    <col width="26" customWidth="1" min="9" max="9"/>
  </cols>
  <sheetData>
    <row r="1" ht="26" customHeight="1">
      <c r="A1" s="1" t="inlineStr">
        <is>
          <t>美术/音频素材采购清单（授权优先级：CC0 &gt; CC-BY &gt; 站内授权；逐条登记备查）</t>
        </is>
      </c>
    </row>
    <row r="2" ht="30" customHeight="1">
      <c r="A2" s="2" t="inlineStr">
        <is>
          <t>序号</t>
        </is>
      </c>
      <c r="B2" s="2" t="inlineStr">
        <is>
          <t>素材类别</t>
        </is>
      </c>
      <c r="C2" s="2" t="inlineStr">
        <is>
          <t>具体素材</t>
        </is>
      </c>
      <c r="D2" s="2" t="inlineStr">
        <is>
          <t>来源平台</t>
        </is>
      </c>
      <c r="E2" s="2" t="inlineStr">
        <is>
          <t>授权类型</t>
        </is>
      </c>
      <c r="F2" s="2" t="inlineStr">
        <is>
          <t>优先级</t>
        </is>
      </c>
      <c r="G2" s="2" t="inlineStr">
        <is>
          <t>状态</t>
        </is>
      </c>
      <c r="H2" s="2" t="inlineStr">
        <is>
          <t>放置路径</t>
        </is>
      </c>
      <c r="I2" s="2" t="inlineStr">
        <is>
          <t>备注</t>
        </is>
      </c>
    </row>
    <row r="3" ht="28" customHeight="1">
      <c r="A3" s="3" t="n">
        <v>1</v>
      </c>
      <c r="B3" s="4" t="inlineStr">
        <is>
          <t>角色模型</t>
        </is>
      </c>
      <c r="C3" s="4" t="inlineStr">
        <is>
          <t>持刀人形角色（1 个，带骨骼）</t>
        </is>
      </c>
      <c r="D3" s="4" t="inlineStr">
        <is>
          <t>Mixamo</t>
        </is>
      </c>
      <c r="E3" s="3" t="inlineStr">
        <is>
          <t>Adobe 免费账号</t>
        </is>
      </c>
      <c r="F3" s="3" t="inlineStr">
        <is>
          <t>高</t>
        </is>
      </c>
      <c r="G3" s="3" t="inlineStr">
        <is>
          <t>未开始</t>
        </is>
      </c>
      <c r="H3" s="4" t="inlineStr">
        <is>
          <t>Art/Characters/</t>
        </is>
      </c>
      <c r="I3" s="4" t="inlineStr">
        <is>
          <t>需注册 Adobe 账号</t>
        </is>
      </c>
    </row>
    <row r="4" ht="28" customHeight="1">
      <c r="A4" s="3" t="n">
        <v>2</v>
      </c>
      <c r="B4" s="4" t="inlineStr">
        <is>
          <t>角色动画</t>
        </is>
      </c>
      <c r="C4" s="4" t="inlineStr">
        <is>
          <t>Idle / Running / Walking</t>
        </is>
      </c>
      <c r="D4" s="4" t="inlineStr">
        <is>
          <t>Mixamo</t>
        </is>
      </c>
      <c r="E4" s="3" t="inlineStr">
        <is>
          <t>Adobe 免费账号</t>
        </is>
      </c>
      <c r="F4" s="3" t="inlineStr">
        <is>
          <t>高</t>
        </is>
      </c>
      <c r="G4" s="3" t="inlineStr">
        <is>
          <t>未开始</t>
        </is>
      </c>
      <c r="H4" s="4" t="inlineStr">
        <is>
          <t>Art/Characters/Animations/</t>
        </is>
      </c>
      <c r="I4" s="4" t="inlineStr">
        <is>
          <t>导出时勾 In Place</t>
        </is>
      </c>
    </row>
    <row r="5" ht="28" customHeight="1">
      <c r="A5" s="3" t="n">
        <v>3</v>
      </c>
      <c r="B5" s="4" t="inlineStr">
        <is>
          <t>角色动画</t>
        </is>
      </c>
      <c r="C5" s="4" t="inlineStr">
        <is>
          <t>Great Sword Slash ×2-3 套</t>
        </is>
      </c>
      <c r="D5" s="4" t="inlineStr">
        <is>
          <t>Mixamo</t>
        </is>
      </c>
      <c r="E5" s="3" t="inlineStr">
        <is>
          <t>Adobe 免费账号</t>
        </is>
      </c>
      <c r="F5" s="3" t="inlineStr">
        <is>
          <t>高</t>
        </is>
      </c>
      <c r="G5" s="3" t="inlineStr">
        <is>
          <t>未开始</t>
        </is>
      </c>
      <c r="H5" s="4" t="inlineStr">
        <is>
          <t>Art/Characters/Animations/</t>
        </is>
      </c>
      <c r="I5" s="4" t="inlineStr">
        <is>
          <t>供三段连击使用</t>
        </is>
      </c>
    </row>
    <row r="6" ht="28" customHeight="1">
      <c r="A6" s="3" t="n">
        <v>4</v>
      </c>
      <c r="B6" s="4" t="inlineStr">
        <is>
          <t>角色动画</t>
        </is>
      </c>
      <c r="C6" s="4" t="inlineStr">
        <is>
          <t>Dodging / Roll</t>
        </is>
      </c>
      <c r="D6" s="4" t="inlineStr">
        <is>
          <t>Mixamo</t>
        </is>
      </c>
      <c r="E6" s="3" t="inlineStr">
        <is>
          <t>Adobe 免费账号</t>
        </is>
      </c>
      <c r="F6" s="3" t="inlineStr">
        <is>
          <t>高</t>
        </is>
      </c>
      <c r="G6" s="3" t="inlineStr">
        <is>
          <t>未开始</t>
        </is>
      </c>
      <c r="H6" s="4" t="inlineStr">
        <is>
          <t>Art/Characters/Animations/</t>
        </is>
      </c>
      <c r="I6" s="4" t="inlineStr">
        <is>
          <t>闪避动作</t>
        </is>
      </c>
    </row>
    <row r="7" ht="28" customHeight="1">
      <c r="A7" s="3" t="n">
        <v>5</v>
      </c>
      <c r="B7" s="4" t="inlineStr">
        <is>
          <t>角色动画</t>
        </is>
      </c>
      <c r="C7" s="4" t="inlineStr">
        <is>
          <t>Hit Reaction / Death</t>
        </is>
      </c>
      <c r="D7" s="4" t="inlineStr">
        <is>
          <t>Mixamo</t>
        </is>
      </c>
      <c r="E7" s="3" t="inlineStr">
        <is>
          <t>Adobe 免费账号</t>
        </is>
      </c>
      <c r="F7" s="3" t="inlineStr">
        <is>
          <t>中</t>
        </is>
      </c>
      <c r="G7" s="3" t="inlineStr">
        <is>
          <t>未开始</t>
        </is>
      </c>
      <c r="H7" s="4" t="inlineStr">
        <is>
          <t>Art/Characters/Animations/</t>
        </is>
      </c>
      <c r="I7" s="4" t="inlineStr">
        <is>
          <t>受击与死亡反馈</t>
        </is>
      </c>
    </row>
    <row r="8" ht="28" customHeight="1">
      <c r="A8" s="3" t="n">
        <v>6</v>
      </c>
      <c r="B8" s="4" t="inlineStr">
        <is>
          <t>敌人模型</t>
        </is>
      </c>
      <c r="C8" s="4" t="inlineStr">
        <is>
          <t>低模怪物（3 种）</t>
        </is>
      </c>
      <c r="D8" s="4" t="inlineStr">
        <is>
          <t>Quaternius</t>
        </is>
      </c>
      <c r="E8" s="3" t="inlineStr">
        <is>
          <t>CC0</t>
        </is>
      </c>
      <c r="F8" s="3" t="inlineStr">
        <is>
          <t>高</t>
        </is>
      </c>
      <c r="G8" s="3" t="inlineStr">
        <is>
          <t>未开始</t>
        </is>
      </c>
      <c r="H8" s="4" t="inlineStr">
        <is>
          <t>Art/Characters/Enemies/</t>
        </is>
      </c>
      <c r="I8" s="4" t="inlineStr">
        <is>
          <t>免登录直下</t>
        </is>
      </c>
    </row>
    <row r="9" ht="28" customHeight="1">
      <c r="A9" s="3" t="n">
        <v>7</v>
      </c>
      <c r="B9" s="4" t="inlineStr">
        <is>
          <t>环境模型</t>
        </is>
      </c>
      <c r="C9" s="4" t="inlineStr">
        <is>
          <t>山石 / 竹 / 树 / 建筑部件</t>
        </is>
      </c>
      <c r="D9" s="4" t="inlineStr">
        <is>
          <t>Kenney Nature Kit</t>
        </is>
      </c>
      <c r="E9" s="3" t="inlineStr">
        <is>
          <t>CC0</t>
        </is>
      </c>
      <c r="F9" s="3" t="inlineStr">
        <is>
          <t>中</t>
        </is>
      </c>
      <c r="G9" s="3" t="inlineStr">
        <is>
          <t>未开始</t>
        </is>
      </c>
      <c r="H9" s="4" t="inlineStr">
        <is>
          <t>Art/Environment/</t>
        </is>
      </c>
      <c r="I9" s="4" t="inlineStr">
        <is>
          <t>免登录直下</t>
        </is>
      </c>
    </row>
    <row r="10" ht="28" customHeight="1">
      <c r="A10" s="3" t="n">
        <v>8</v>
      </c>
      <c r="B10" s="4" t="inlineStr">
        <is>
          <t>环境光照</t>
        </is>
      </c>
      <c r="C10" s="4" t="inlineStr">
        <is>
          <t>中式庭院或黄昏 HDRI</t>
        </is>
      </c>
      <c r="D10" s="4" t="inlineStr">
        <is>
          <t>Poly Haven</t>
        </is>
      </c>
      <c r="E10" s="3" t="inlineStr">
        <is>
          <t>CC0</t>
        </is>
      </c>
      <c r="F10" s="3" t="inlineStr">
        <is>
          <t>高</t>
        </is>
      </c>
      <c r="G10" s="3" t="inlineStr">
        <is>
          <t>未开始</t>
        </is>
      </c>
      <c r="H10" s="4" t="inlineStr">
        <is>
          <t>Art/Environment/</t>
        </is>
      </c>
      <c r="I10" s="4" t="inlineStr">
        <is>
          <t>后期压成水墨调</t>
        </is>
      </c>
    </row>
    <row r="11" ht="28" customHeight="1">
      <c r="A11" s="3" t="n">
        <v>9</v>
      </c>
      <c r="B11" s="4" t="inlineStr">
        <is>
          <t>PBR 材质</t>
        </is>
      </c>
      <c r="C11" s="4" t="inlineStr">
        <is>
          <t>石材 / 木材 / 泥土</t>
        </is>
      </c>
      <c r="D11" s="4" t="inlineStr">
        <is>
          <t>ambientCG</t>
        </is>
      </c>
      <c r="E11" s="3" t="inlineStr">
        <is>
          <t>CC0</t>
        </is>
      </c>
      <c r="F11" s="3" t="inlineStr">
        <is>
          <t>中</t>
        </is>
      </c>
      <c r="G11" s="3" t="inlineStr">
        <is>
          <t>未开始</t>
        </is>
      </c>
      <c r="H11" s="4" t="inlineStr">
        <is>
          <t>Art/Environment/</t>
        </is>
      </c>
      <c r="I11" s="4" t="inlineStr">
        <is>
          <t>—</t>
        </is>
      </c>
    </row>
    <row r="12" ht="28" customHeight="1">
      <c r="A12" s="3" t="n">
        <v>10</v>
      </c>
      <c r="B12" s="4" t="inlineStr">
        <is>
          <t>墨迹贴图</t>
        </is>
      </c>
      <c r="C12" s="4" t="inlineStr">
        <is>
          <t>水墨笔刷 / 墨迹 PNG（含 alpha）</t>
        </is>
      </c>
      <c r="D12" s="4" t="inlineStr">
        <is>
          <t>爱给网</t>
        </is>
      </c>
      <c r="E12" s="3" t="inlineStr">
        <is>
          <t>站内授权</t>
        </is>
      </c>
      <c r="F12" s="3" t="inlineStr">
        <is>
          <t>高</t>
        </is>
      </c>
      <c r="G12" s="3" t="inlineStr">
        <is>
          <t>未开始</t>
        </is>
      </c>
      <c r="H12" s="4" t="inlineStr">
        <is>
          <t>Art/Textures/Ink/</t>
        </is>
      </c>
      <c r="I12" s="4" t="inlineStr">
        <is>
          <t>用于刀光与溅墨</t>
        </is>
      </c>
    </row>
    <row r="13" ht="28" customHeight="1">
      <c r="A13" s="3" t="n">
        <v>11</v>
      </c>
      <c r="B13" s="4" t="inlineStr">
        <is>
          <t>宣纸纹理</t>
        </is>
      </c>
      <c r="C13" s="4" t="inlineStr">
        <is>
          <t>纸纹（备用，优先程序化生成）</t>
        </is>
      </c>
      <c r="D13" s="4" t="inlineStr">
        <is>
          <t>ambientCG</t>
        </is>
      </c>
      <c r="E13" s="3" t="inlineStr">
        <is>
          <t>CC0</t>
        </is>
      </c>
      <c r="F13" s="3" t="inlineStr">
        <is>
          <t>低</t>
        </is>
      </c>
      <c r="G13" s="3" t="inlineStr">
        <is>
          <t>未开始</t>
        </is>
      </c>
      <c r="H13" s="4" t="inlineStr">
        <is>
          <t>Art/Textures/Ink/</t>
        </is>
      </c>
      <c r="I13" s="4" t="inlineStr">
        <is>
          <t>程序化生成可写进论文</t>
        </is>
      </c>
    </row>
    <row r="14" ht="28" customHeight="1">
      <c r="A14" s="3" t="n">
        <v>12</v>
      </c>
      <c r="B14" s="4" t="inlineStr">
        <is>
          <t>UI 素材</t>
        </is>
      </c>
      <c r="C14" s="4" t="inlineStr">
        <is>
          <t>通用 UI 图集（按钮/边框）</t>
        </is>
      </c>
      <c r="D14" s="4" t="inlineStr">
        <is>
          <t>Kenney UI Pack</t>
        </is>
      </c>
      <c r="E14" s="3" t="inlineStr">
        <is>
          <t>CC0</t>
        </is>
      </c>
      <c r="F14" s="3" t="inlineStr">
        <is>
          <t>中</t>
        </is>
      </c>
      <c r="G14" s="3" t="inlineStr">
        <is>
          <t>未开始</t>
        </is>
      </c>
      <c r="H14" s="4" t="inlineStr">
        <is>
          <t>Art/</t>
        </is>
      </c>
      <c r="I14" s="4" t="inlineStr">
        <is>
          <t>再用水墨笔刷重制</t>
        </is>
      </c>
    </row>
    <row r="15" ht="28" customHeight="1">
      <c r="A15" s="3" t="n">
        <v>13</v>
      </c>
      <c r="B15" s="4" t="inlineStr">
        <is>
          <t>音效</t>
        </is>
      </c>
      <c r="C15" s="4" t="inlineStr">
        <is>
          <t>挥刀 / 命中 / 闪避 / UI</t>
        </is>
      </c>
      <c r="D15" s="4" t="inlineStr">
        <is>
          <t>freesound.org、Kenney Audio</t>
        </is>
      </c>
      <c r="E15" s="3" t="inlineStr">
        <is>
          <t>CC0 / CC-BY</t>
        </is>
      </c>
      <c r="F15" s="3" t="inlineStr">
        <is>
          <t>低</t>
        </is>
      </c>
      <c r="G15" s="3" t="inlineStr">
        <is>
          <t>未开始</t>
        </is>
      </c>
      <c r="H15" s="4" t="inlineStr">
        <is>
          <t>Audio/SFX/</t>
        </is>
      </c>
      <c r="I15" s="4" t="inlineStr">
        <is>
          <t>CC-BY 须在论文署名</t>
        </is>
      </c>
    </row>
    <row r="16" ht="28" customHeight="1">
      <c r="A16" s="3" t="n">
        <v>14</v>
      </c>
      <c r="B16" s="4" t="inlineStr">
        <is>
          <t>字体</t>
        </is>
      </c>
      <c r="C16" s="4" t="inlineStr">
        <is>
          <t>思源宋体（正文备选）</t>
        </is>
      </c>
      <c r="D16" s="4" t="inlineStr">
        <is>
          <t>Google Fonts</t>
        </is>
      </c>
      <c r="E16" s="3" t="inlineStr">
        <is>
          <t>SIL OFL</t>
        </is>
      </c>
      <c r="F16" s="3" t="inlineStr">
        <is>
          <t>中</t>
        </is>
      </c>
      <c r="G16" s="3" t="inlineStr">
        <is>
          <t>未开始</t>
        </is>
      </c>
      <c r="H16" s="4" t="inlineStr">
        <is>
          <t>Art/</t>
        </is>
      </c>
      <c r="I16" s="4" t="inlineStr">
        <is>
          <t>书法体必须核对授权</t>
        </is>
      </c>
    </row>
  </sheetData>
  <autoFilter ref="A2:I16"/>
  <mergeCells count="1">
    <mergeCell ref="A1:I1"/>
  </mergeCells>
  <conditionalFormatting sqref="G3:G16">
    <cfRule type="cellIs" priority="1" operator="equal" dxfId="0">
      <formula>"已入库"</formula>
    </cfRule>
    <cfRule type="cellIs" priority="2" operator="equal" dxfId="1">
      <formula>"已下载"</formula>
    </cfRule>
  </conditionalFormatting>
  <conditionalFormatting sqref="F3:F16">
    <cfRule type="cellIs" priority="3" operator="equal" dxfId="2">
      <formula>"高"</formula>
    </cfRule>
  </conditionalFormatting>
  <dataValidations count="1">
    <dataValidation sqref="G3:G16" showDropDown="0" showInputMessage="0" showErrorMessage="0" allowBlank="1" type="list">
      <formula1>"未开始,已下载,已入库"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10" customWidth="1" min="3" max="3"/>
    <col width="10" customWidth="1" min="4" max="4"/>
    <col width="9" customWidth="1" min="5" max="5"/>
    <col width="8" customWidth="1" min="6" max="6"/>
    <col width="55" customWidth="1" min="7" max="7"/>
    <col width="10" customWidth="1" min="8" max="8"/>
    <col width="9" customWidth="1" min="9" max="9"/>
  </cols>
  <sheetData>
    <row r="1" ht="26" customHeight="1">
      <c r="A1" s="1" t="inlineStr">
        <is>
          <t>风险登记册（概率/影响按 1-3 打分；风险值 = 概率 × 影响）</t>
        </is>
      </c>
    </row>
    <row r="2" ht="30" customHeight="1">
      <c r="A2" s="2" t="inlineStr">
        <is>
          <t>ID</t>
        </is>
      </c>
      <c r="B2" s="2" t="inlineStr">
        <is>
          <t>风险描述</t>
        </is>
      </c>
      <c r="C2" s="2" t="inlineStr">
        <is>
          <t>概率(1-3)</t>
        </is>
      </c>
      <c r="D2" s="2" t="inlineStr">
        <is>
          <t>影响(1-3)</t>
        </is>
      </c>
      <c r="E2" s="2" t="inlineStr">
        <is>
          <t>风险值</t>
        </is>
      </c>
      <c r="F2" s="2" t="inlineStr">
        <is>
          <t>等级</t>
        </is>
      </c>
      <c r="G2" s="2" t="inlineStr">
        <is>
          <t>应对策略</t>
        </is>
      </c>
      <c r="H2" s="2" t="inlineStr">
        <is>
          <t>状态</t>
        </is>
      </c>
      <c r="I2" s="2" t="inlineStr">
        <is>
          <t>负责人</t>
        </is>
      </c>
    </row>
    <row r="3" ht="34" customHeight="1">
      <c r="A3" s="3" t="inlineStr">
        <is>
          <t>R1</t>
        </is>
      </c>
      <c r="B3" s="4" t="inlineStr">
        <is>
          <t>依赖包拉不下来 / 桥起不来 / 端口发现失败</t>
        </is>
      </c>
      <c r="C3" s="13" t="n">
        <v>2</v>
      </c>
      <c r="D3" s="13" t="n">
        <v>3</v>
      </c>
      <c r="E3" s="3">
        <f>IF(OR(C3="",D3=""),"",C3*D3)</f>
        <v>6.0</v>
      </c>
      <c r="F3" s="3" t="str">
        <f>IF(E3="","",IF(E3&gt;=6,"高",IF(E3&gt;=3,"中","低")))</f>
        <v>高</v>
      </c>
      <c r="G3" s="4" t="inlineStr">
        <is>
          <t>先用 doctor 定位；不行改方式 B 内嵌包整目录拷贝；再用 UNITY_BRIDGE_PORT 钉死端口</t>
        </is>
      </c>
      <c r="H3" s="3" t="inlineStr">
        <is>
          <t>监控中</t>
        </is>
      </c>
      <c r="I3" s="3" t="inlineStr">
        <is>
          <t>AI</t>
        </is>
      </c>
    </row>
    <row r="4" ht="34" customHeight="1">
      <c r="A4" s="3" t="inlineStr">
        <is>
          <t>R2</t>
        </is>
      </c>
      <c r="B4" s="4" t="inlineStr">
        <is>
          <t>中国版 Unity 与国际版包源冲突</t>
        </is>
      </c>
      <c r="C4" s="13" t="n">
        <v>1</v>
      </c>
      <c r="D4" s="13" t="n">
        <v>2</v>
      </c>
      <c r="E4" s="3">
        <f>IF(OR(C4="",D4=""),"",C4*D4)</f>
        <v>2.0</v>
      </c>
      <c r="F4" s="3" t="str">
        <f>IF(E4="","",IF(E4&gt;=6,"高",IF(E4&gt;=3,"中","低")))</f>
        <v>低</v>
      </c>
      <c r="G4" s="4" t="inlineStr">
        <is>
          <t>工程已是 packages.unity.cn 主源，风险已消除</t>
        </is>
      </c>
      <c r="H4" s="3" t="inlineStr">
        <is>
          <t>已关闭</t>
        </is>
      </c>
      <c r="I4" s="3" t="inlineStr">
        <is>
          <t>AI</t>
        </is>
      </c>
    </row>
    <row r="5" ht="34" customHeight="1">
      <c r="A5" s="3" t="inlineStr">
        <is>
          <t>R3</t>
        </is>
      </c>
      <c r="B5" s="4" t="inlineStr">
        <is>
          <t>水墨 Shader 效果不达预期（核心风险）</t>
        </is>
      </c>
      <c r="C5" s="13" t="n">
        <v>3</v>
      </c>
      <c r="D5" s="13" t="n">
        <v>3</v>
      </c>
      <c r="E5" s="3">
        <f>IF(OR(C5="",D5=""),"",C5*D5)</f>
        <v>9.0</v>
      </c>
      <c r="F5" s="3" t="str">
        <f>IF(E5="","",IF(E5&gt;=6,"高",IF(E5&gt;=3,"中","低")))</f>
        <v>高</v>
      </c>
      <c r="G5" s="4" t="inlineStr">
        <is>
          <t>Day4 留整日 + Day6 机动；降级链：全效果 → 去墨晕 → 只保多阶光照+飞白；把参数化分级方案本身写成工程贡献</t>
        </is>
      </c>
      <c r="H5" s="3" t="inlineStr">
        <is>
          <t>监控中</t>
        </is>
      </c>
      <c r="I5" s="3" t="inlineStr">
        <is>
          <t>AI</t>
        </is>
      </c>
    </row>
    <row r="6" ht="34" customHeight="1">
      <c r="A6" s="3" t="inlineStr">
        <is>
          <t>R4</t>
        </is>
      </c>
      <c r="B6" s="4" t="inlineStr">
        <is>
          <t>素材版权风险 / 下载受阻</t>
        </is>
      </c>
      <c r="C6" s="13" t="n">
        <v>2</v>
      </c>
      <c r="D6" s="13" t="n">
        <v>2</v>
      </c>
      <c r="E6" s="3">
        <f>IF(OR(C6="",D6=""),"",C6*D6)</f>
        <v>4.0</v>
      </c>
      <c r="F6" s="3" t="str">
        <f>IF(E6="","",IF(E6&gt;=6,"高",IF(E6&gt;=3,"中","低")))</f>
        <v>中</v>
      </c>
      <c r="G6" s="4" t="inlineStr">
        <is>
          <t>一律 CC0 优先；模型退化时用基础几何体+水墨材质，论文中说明聚焦渲染与系统实现</t>
        </is>
      </c>
      <c r="H6" s="3" t="inlineStr">
        <is>
          <t>监控中</t>
        </is>
      </c>
      <c r="I6" s="3" t="inlineStr">
        <is>
          <t>你</t>
        </is>
      </c>
    </row>
    <row r="7" ht="34" customHeight="1">
      <c r="A7" s="3" t="inlineStr">
        <is>
          <t>R5</t>
        </is>
      </c>
      <c r="B7" s="4" t="inlineStr">
        <is>
          <t>一周工期不足</t>
        </is>
      </c>
      <c r="C7" s="13" t="n">
        <v>3</v>
      </c>
      <c r="D7" s="13" t="n">
        <v>3</v>
      </c>
      <c r="E7" s="3">
        <f>IF(OR(C7="",D7=""),"",C7*D7)</f>
        <v>9.0</v>
      </c>
      <c r="F7" s="3" t="str">
        <f>IF(E7="","",IF(E7&gt;=6,"高",IF(E7&gt;=3,"中","低")))</f>
        <v>高</v>
      </c>
      <c r="G7" s="4" t="inlineStr">
        <is>
          <t>严格执行 MoSCoW 范围冻结；Should 项按 Day6 余量取舍；论文写作绝不后置</t>
        </is>
      </c>
      <c r="H7" s="3" t="inlineStr">
        <is>
          <t>监控中</t>
        </is>
      </c>
      <c r="I7" s="3" t="inlineStr">
        <is>
          <t>你+AI</t>
        </is>
      </c>
    </row>
    <row r="8" ht="34" customHeight="1">
      <c r="A8" s="3" t="inlineStr">
        <is>
          <t>R6</t>
        </is>
      </c>
      <c r="B8" s="4" t="inlineStr">
        <is>
          <t>论文被开发挤占，末期没时间写</t>
        </is>
      </c>
      <c r="C8" s="13" t="n">
        <v>3</v>
      </c>
      <c r="D8" s="13" t="n">
        <v>3</v>
      </c>
      <c r="E8" s="3">
        <f>IF(OR(C8="",D8=""),"",C8*D8)</f>
        <v>9.0</v>
      </c>
      <c r="F8" s="3" t="str">
        <f>IF(E8="","",IF(E8&gt;=6,"高",IF(E8&gt;=3,"中","低")))</f>
        <v>高</v>
      </c>
      <c r="G8" s="4" t="inlineStr">
        <is>
          <t>每 Sprint 收尾同步写对应章节；AI 产出初稿，你做表述润色</t>
        </is>
      </c>
      <c r="H8" s="3" t="inlineStr">
        <is>
          <t>监控中</t>
        </is>
      </c>
      <c r="I8" s="3" t="inlineStr">
        <is>
          <t>AI+你</t>
        </is>
      </c>
    </row>
    <row r="9" ht="34" customHeight="1">
      <c r="A9" s="3" t="inlineStr">
        <is>
          <t>R7</t>
        </is>
      </c>
      <c r="B9" s="4" t="inlineStr">
        <is>
          <t>Unity 编译 / 导入等待时间不可控</t>
        </is>
      </c>
      <c r="C9" s="13" t="n">
        <v>2</v>
      </c>
      <c r="D9" s="13" t="n">
        <v>2</v>
      </c>
      <c r="E9" s="3">
        <f>IF(OR(C9="",D9=""),"",C9*D9)</f>
        <v>4.0</v>
      </c>
      <c r="F9" s="3" t="str">
        <f>IF(E9="","",IF(E9&gt;=6,"高",IF(E9&gt;=3,"中","低")))</f>
        <v>中</v>
      </c>
      <c r="G9" s="4" t="inlineStr">
        <is>
          <t>把离线可做的工作（写脚本、写 Shader、写论文、整理数据）排在编译等待期</t>
        </is>
      </c>
      <c r="H9" s="3" t="inlineStr">
        <is>
          <t>监控中</t>
        </is>
      </c>
      <c r="I9" s="3" t="inlineStr">
        <is>
          <t>AI</t>
        </is>
      </c>
    </row>
    <row r="10" ht="34" customHeight="1">
      <c r="A10" s="3" t="inlineStr">
        <is>
          <t>R8</t>
        </is>
      </c>
      <c r="B10" s="4" t="inlineStr">
        <is>
          <t>AI 远程改场景与手动改动冲突</t>
        </is>
      </c>
      <c r="C10" s="13" t="n">
        <v>2</v>
      </c>
      <c r="D10" s="13" t="n">
        <v>2</v>
      </c>
      <c r="E10" s="3">
        <f>IF(OR(C10="",D10=""),"",C10*D10)</f>
        <v>4.0</v>
      </c>
      <c r="F10" s="3" t="str">
        <f>IF(E10="","",IF(E10&gt;=6,"高",IF(E10&gt;=3,"中","低")))</f>
        <v>中</v>
      </c>
      <c r="G10" s="4" t="inlineStr">
        <is>
          <t>约定施工期间不手动改场景；所有资产走版本控制，变更可回滚</t>
        </is>
      </c>
      <c r="H10" s="3" t="inlineStr">
        <is>
          <t>监控中</t>
        </is>
      </c>
      <c r="I10" s="3" t="inlineStr">
        <is>
          <t>你</t>
        </is>
      </c>
    </row>
    <row r="11" ht="34" customHeight="1">
      <c r="A11" s="3" t="inlineStr">
        <is>
          <t>R9</t>
        </is>
      </c>
      <c r="B11" s="4" t="inlineStr">
        <is>
          <t>水墨后处理性能不达标</t>
        </is>
      </c>
      <c r="C11" s="13" t="n">
        <v>2</v>
      </c>
      <c r="D11" s="13" t="n">
        <v>2</v>
      </c>
      <c r="E11" s="3">
        <f>IF(OR(C11="",D11=""),"",C11*D11)</f>
        <v>4.0</v>
      </c>
      <c r="F11" s="3" t="str">
        <f>IF(E11="","",IF(E11&gt;=6,"高",IF(E11&gt;=3,"中","低")))</f>
        <v>中</v>
      </c>
      <c r="G11" s="4" t="inlineStr">
        <is>
          <t>后处理统一走半分辨率 + 降采样；敌人与特效对象池化；Day6 专项优化</t>
        </is>
      </c>
      <c r="H11" s="3" t="inlineStr">
        <is>
          <t>监控中</t>
        </is>
      </c>
      <c r="I11" s="3" t="inlineStr">
        <is>
          <t>AI</t>
        </is>
      </c>
    </row>
  </sheetData>
  <autoFilter ref="A2:I11"/>
  <mergeCells count="1">
    <mergeCell ref="A1:I1"/>
  </mergeCells>
  <conditionalFormatting sqref="F3:F11">
    <cfRule type="cellIs" priority="1" operator="equal" dxfId="2">
      <formula>"高"</formula>
    </cfRule>
    <cfRule type="cellIs" priority="2" operator="equal" dxfId="1">
      <formula>"中"</formula>
    </cfRule>
    <cfRule type="cellIs" priority="3" operator="equal" dxfId="0">
      <formula>"低"</formula>
    </cfRule>
  </conditionalFormatting>
  <conditionalFormatting sqref="H3:H11">
    <cfRule type="cellIs" priority="4" operator="equal" dxfId="0">
      <formula>"已关闭"</formula>
    </cfRule>
    <cfRule type="cellIs" priority="5" operator="equal" dxfId="2">
      <formula>"已发生"</formula>
    </cfRule>
  </conditionalFormatting>
  <dataValidations count="1">
    <dataValidation sqref="H3:H11" showDropDown="0" showInputMessage="0" showErrorMessage="0" allowBlank="1" type="list">
      <formula1>"监控中,已关闭,已发生"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毕设迭代计划表</dc:title>
  <dcterms:created xmlns:dcterms="http://purl.org/dc/terms/" xmlns:xsi="http://www.w3.org/2001/XMLSchema-instance" xsi:type="dcterms:W3CDTF">2026-09-13T09:10:21Z</dcterms:created>
  <dcterms:modified xmlns:dcterms="http://purl.org/dc/terms/" xmlns:xsi="http://www.w3.org/2001/XMLSchema-instance" xsi:type="dcterms:W3CDTF">2026-09-13T09:10:21Z</dcterms:modified>
</cp:coreProperties>
</file>